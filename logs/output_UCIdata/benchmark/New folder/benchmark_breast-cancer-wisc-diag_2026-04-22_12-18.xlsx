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harts" sheetId="2" state="visible" r:id="rId2"/>
    <sheet name="Cap_1_10pct" sheetId="3" state="visible" r:id="rId3"/>
    <sheet name="Cap_2_20pct" sheetId="4" state="visible" r:id="rId4"/>
    <sheet name="Cap_3_30pct" sheetId="5" state="visible" r:id="rId5"/>
    <sheet name="Cap_4_40pct" sheetId="6" state="visible" r:id="rId6"/>
    <sheet name="Cap_5_50pct" sheetId="7" state="visible" r:id="rId7"/>
    <sheet name="Cap_6_60pct" sheetId="8" state="visible" r:id="rId8"/>
    <sheet name="Cap_7_70pct" sheetId="9" state="visible" r:id="rId9"/>
    <sheet name="Cap_8_80pct" sheetId="10" state="visible" r:id="rId10"/>
    <sheet name="Cap_9_90pct" sheetId="11" state="visible" r:id="rId11"/>
    <sheet name="Cap_10_100pct" sheetId="12" state="visible" r:id="rId12"/>
    <sheet name="Feat Selec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b val="1"/>
      <sz val="11"/>
    </font>
    <font>
      <i val="1"/>
      <sz val="9"/>
    </font>
    <font>
      <b val="1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7F7F7F"/>
      </patternFill>
    </fill>
    <fill>
      <patternFill patternType="solid">
        <fgColor rgb="00375623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FF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4" fontId="0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164" fontId="0" fillId="8" borderId="1" applyAlignment="1" pivotButton="0" quotePrefix="0" xfId="0">
      <alignment horizontal="center" vertical="center" wrapText="1"/>
    </xf>
    <xf numFmtId="164" fontId="0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164" fontId="0" fillId="10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4" fillId="11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horizontal="center" vertical="center" wrapText="1"/>
    </xf>
    <xf numFmtId="164" fontId="6" fillId="12" borderId="1" applyAlignment="1" pivotButton="0" quotePrefix="0" xfId="0">
      <alignment horizontal="center" vertical="center" wrapText="1"/>
    </xf>
    <xf numFmtId="165" fontId="6" fillId="12" borderId="1" applyAlignment="1" pivotButton="0" quotePrefix="0" xfId="0">
      <alignment horizontal="center" vertical="center" wrapText="1"/>
    </xf>
    <xf numFmtId="0" fontId="6" fillId="13" borderId="1" applyAlignment="1" pivotButton="0" quotePrefix="0" xfId="0">
      <alignment horizontal="center" vertical="center" wrapText="1"/>
    </xf>
    <xf numFmtId="0" fontId="0" fillId="13" borderId="1" applyAlignment="1" pivotButton="0" quotePrefix="0" xfId="0">
      <alignment horizontal="center" vertical="center" wrapText="1"/>
    </xf>
    <xf numFmtId="164" fontId="6" fillId="13" borderId="1" applyAlignment="1" pivotButton="0" quotePrefix="0" xfId="0">
      <alignment horizontal="center" vertical="center" wrapText="1"/>
    </xf>
    <xf numFmtId="165" fontId="6" fillId="13" borderId="1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theo cấp dữ liệu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'Charts'!C3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'Charts'!$C$4:$C$13</f>
            </numRef>
          </val>
        </ser>
        <ser>
          <idx val="1"/>
          <order val="1"/>
          <tx>
            <strRef>
              <f>'Charts'!D3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'Charts'!$D$4:$D$13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Thời gian chạy (giây)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'Charts'!E3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'Charts'!$E$4:$E$13</f>
            </numRef>
          </val>
        </ser>
        <ser>
          <idx val="1"/>
          <order val="1"/>
          <tx>
            <strRef>
              <f>'Charts'!F3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'Charts'!$F$4:$F$13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Giây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Bộ nhớ peak (MB)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'Charts'!G3</f>
            </strRef>
          </tx>
          <spPr>
            <a:ln>
              <a:prstDash val="solid"/>
            </a:ln>
          </spPr>
          <marker>
            <symbol val="circle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'Charts'!$G$4:$G$13</f>
            </numRef>
          </val>
        </ser>
        <ser>
          <idx val="1"/>
          <order val="1"/>
          <tx>
            <strRef>
              <f>'Charts'!H3</f>
            </strRef>
          </tx>
          <spPr>
            <a:ln>
              <a:prstDash val="solid"/>
            </a:ln>
          </spPr>
          <marker>
            <symbol val="diamond"/>
            <spPr>
              <a:ln>
                <a:prstDash val="solid"/>
              </a:ln>
            </spPr>
          </marker>
          <cat>
            <numRef>
              <f>'Charts'!$B$4:$B$13</f>
            </numRef>
          </cat>
          <val>
            <numRef>
              <f>'Charts'!$H$4:$H$13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% Data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11</col>
      <colOff>0</colOff>
      <row>15</row>
      <rowOff>0</rowOff>
    </from>
    <ext cx="8640000" cy="54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36</row>
      <rowOff>0</rowOff>
    </from>
    <ext cx="8640000" cy="54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1" customWidth="1" min="4" max="4"/>
    <col width="11" customWidth="1" min="5" max="5"/>
    <col width="16" customWidth="1" min="6" max="6"/>
    <col width="26" customWidth="1" min="7" max="7"/>
    <col width="10" customWidth="1" min="8" max="8"/>
    <col width="15" customWidth="1" min="9" max="9"/>
    <col width="13" customWidth="1" min="10" max="10"/>
    <col width="21" customWidth="1" min="11" max="11"/>
  </cols>
  <sheetData>
    <row r="1" ht="28" customHeight="1">
      <c r="A1" s="1" t="inlineStr">
        <is>
          <t>Benchmark — breast-cancer-wisc-diag  |  2026-04-22 12:18  |  Baseline vs Full Optimization (M10)</t>
        </is>
      </c>
    </row>
    <row r="2" ht="20" customHeight="1">
      <c r="A2" s="2" t="inlineStr">
        <is>
          <t>Cấp dữ liệu</t>
        </is>
      </c>
      <c r="D2" s="3" t="inlineStr">
        <is>
          <t>Baseline</t>
        </is>
      </c>
      <c r="G2" s="4" t="inlineStr">
        <is>
          <t>Full Optimization (M10)</t>
        </is>
      </c>
      <c r="J2" s="5" t="inlineStr">
        <is>
          <t>So sánh</t>
        </is>
      </c>
    </row>
    <row r="3">
      <c r="A3" s="6" t="inlineStr">
        <is>
          <t>Cấp</t>
        </is>
      </c>
      <c r="B3" s="6" t="inlineStr">
        <is>
          <t>% Data</t>
        </is>
      </c>
      <c r="C3" s="6" t="inlineStr">
        <is>
          <t>Số mẫu</t>
        </is>
      </c>
      <c r="D3" s="6" t="inlineStr">
        <is>
          <t>Acc Base</t>
        </is>
      </c>
      <c r="E3" s="6" t="inlineStr">
        <is>
          <t>Std Base</t>
        </is>
      </c>
      <c r="F3" s="6" t="inlineStr">
        <is>
          <t>Time Base (s)</t>
        </is>
      </c>
      <c r="G3" s="6" t="inlineStr">
        <is>
          <t>Acc M10</t>
        </is>
      </c>
      <c r="H3" s="6" t="inlineStr">
        <is>
          <t>Std M10</t>
        </is>
      </c>
      <c r="I3" s="6" t="inlineStr">
        <is>
          <t>Time M10 (s)</t>
        </is>
      </c>
      <c r="J3" s="6" t="inlineStr">
        <is>
          <t>Chênh lệch</t>
        </is>
      </c>
      <c r="K3" s="6" t="inlineStr">
        <is>
          <t>Kết quả</t>
        </is>
      </c>
    </row>
    <row r="4">
      <c r="A4" s="7" t="n">
        <v>1</v>
      </c>
      <c r="B4" s="7" t="inlineStr">
        <is>
          <t>9.9%</t>
        </is>
      </c>
      <c r="C4" s="7" t="n">
        <v>38</v>
      </c>
      <c r="D4" s="8" t="n">
        <v>0.9419</v>
      </c>
      <c r="E4" s="8" t="n">
        <v>0.0091</v>
      </c>
      <c r="F4" s="7" t="n">
        <v>619.9</v>
      </c>
      <c r="G4" s="8" t="n">
        <v>0.9296</v>
      </c>
      <c r="H4" s="8" t="n">
        <v>0.0086</v>
      </c>
      <c r="I4" s="7" t="n">
        <v>354.3</v>
      </c>
      <c r="J4" s="9" t="n">
        <v>-0.0123</v>
      </c>
      <c r="K4" s="10" t="inlineStr">
        <is>
          <t>❌ Baseline tốt hơn</t>
        </is>
      </c>
    </row>
    <row r="5">
      <c r="A5" s="11" t="n">
        <v>2</v>
      </c>
      <c r="B5" s="11" t="inlineStr">
        <is>
          <t>19.8%</t>
        </is>
      </c>
      <c r="C5" s="11" t="n">
        <v>76</v>
      </c>
      <c r="D5" s="12" t="n">
        <v>0.9349</v>
      </c>
      <c r="E5" s="12" t="n">
        <v>0.0058</v>
      </c>
      <c r="F5" s="11" t="n">
        <v>861.3</v>
      </c>
      <c r="G5" s="12" t="n">
        <v>0.9366</v>
      </c>
      <c r="H5" s="12" t="n">
        <v>0.0086</v>
      </c>
      <c r="I5" s="11" t="n">
        <v>407.8</v>
      </c>
      <c r="J5" s="13" t="n">
        <v>0.0018</v>
      </c>
      <c r="K5" s="14" t="inlineStr">
        <is>
          <t>✅ M10 tốt hơn</t>
        </is>
      </c>
    </row>
    <row r="6">
      <c r="A6" s="7" t="n">
        <v>3</v>
      </c>
      <c r="B6" s="7" t="inlineStr">
        <is>
          <t>29.9%</t>
        </is>
      </c>
      <c r="C6" s="7" t="n">
        <v>115</v>
      </c>
      <c r="D6" s="8" t="n">
        <v>0.9419</v>
      </c>
      <c r="E6" s="8" t="n">
        <v>0.0152</v>
      </c>
      <c r="F6" s="7" t="n">
        <v>829.7</v>
      </c>
      <c r="G6" s="8" t="n">
        <v>0.9472</v>
      </c>
      <c r="H6" s="8" t="n">
        <v>0.007900000000000001</v>
      </c>
      <c r="I6" s="7" t="n">
        <v>398.3</v>
      </c>
      <c r="J6" s="13" t="n">
        <v>0.0053</v>
      </c>
      <c r="K6" s="14" t="inlineStr">
        <is>
          <t>✅ M10 tốt hơn</t>
        </is>
      </c>
    </row>
    <row r="7">
      <c r="A7" s="11" t="n">
        <v>4</v>
      </c>
      <c r="B7" s="11" t="inlineStr">
        <is>
          <t>39.8%</t>
        </is>
      </c>
      <c r="C7" s="11" t="n">
        <v>153</v>
      </c>
      <c r="D7" s="12" t="n">
        <v>0.9401</v>
      </c>
      <c r="E7" s="12" t="n">
        <v>0.0127</v>
      </c>
      <c r="F7" s="11" t="n">
        <v>829.4</v>
      </c>
      <c r="G7" s="12" t="n">
        <v>0.9525</v>
      </c>
      <c r="H7" s="12" t="n">
        <v>0.003</v>
      </c>
      <c r="I7" s="11" t="n">
        <v>377.1</v>
      </c>
      <c r="J7" s="13" t="n">
        <v>0.0123</v>
      </c>
      <c r="K7" s="14" t="inlineStr">
        <is>
          <t>✅ M10 tốt hơn</t>
        </is>
      </c>
    </row>
    <row r="8">
      <c r="A8" s="7" t="n">
        <v>5</v>
      </c>
      <c r="B8" s="7" t="inlineStr">
        <is>
          <t>50.0%</t>
        </is>
      </c>
      <c r="C8" s="7" t="n">
        <v>192</v>
      </c>
      <c r="D8" s="8" t="n">
        <v>0.9525</v>
      </c>
      <c r="E8" s="8" t="n">
        <v>0.0077</v>
      </c>
      <c r="F8" s="7" t="n">
        <v>799</v>
      </c>
      <c r="G8" s="8" t="n">
        <v>0.9349</v>
      </c>
      <c r="H8" s="8" t="n">
        <v>0.0126</v>
      </c>
      <c r="I8" s="7" t="n">
        <v>386.2</v>
      </c>
      <c r="J8" s="9" t="n">
        <v>-0.0176</v>
      </c>
      <c r="K8" s="10" t="inlineStr">
        <is>
          <t>❌ Baseline tốt hơn</t>
        </is>
      </c>
    </row>
    <row r="9">
      <c r="A9" s="11" t="n">
        <v>6</v>
      </c>
      <c r="B9" s="11" t="inlineStr">
        <is>
          <t>59.9%</t>
        </is>
      </c>
      <c r="C9" s="11" t="n">
        <v>230</v>
      </c>
      <c r="D9" s="12" t="n">
        <v>0.9489</v>
      </c>
      <c r="E9" s="12" t="n">
        <v>0.0126</v>
      </c>
      <c r="F9" s="11" t="n">
        <v>814.6</v>
      </c>
      <c r="G9" s="12" t="n">
        <v>0.9577</v>
      </c>
      <c r="H9" s="12" t="n">
        <v>0.0122</v>
      </c>
      <c r="I9" s="11" t="n">
        <v>409.7</v>
      </c>
      <c r="J9" s="13" t="n">
        <v>0.008800000000000001</v>
      </c>
      <c r="K9" s="14" t="inlineStr">
        <is>
          <t>✅ M10 tốt hơn</t>
        </is>
      </c>
    </row>
    <row r="10">
      <c r="A10" s="7" t="n">
        <v>7</v>
      </c>
      <c r="B10" s="7" t="inlineStr">
        <is>
          <t>69.8%</t>
        </is>
      </c>
      <c r="C10" s="7" t="n">
        <v>268</v>
      </c>
      <c r="D10" s="8" t="n">
        <v>0.9613</v>
      </c>
      <c r="E10" s="8" t="n">
        <v>0.0035</v>
      </c>
      <c r="F10" s="7" t="n">
        <v>818.5</v>
      </c>
      <c r="G10" s="8" t="n">
        <v>0.9613</v>
      </c>
      <c r="H10" s="8" t="n">
        <v>0.0035</v>
      </c>
      <c r="I10" s="7" t="n">
        <v>397.3</v>
      </c>
      <c r="J10" s="15" t="n">
        <v>0</v>
      </c>
      <c r="K10" s="16" t="inlineStr">
        <is>
          <t>➖ Tương đương</t>
        </is>
      </c>
    </row>
    <row r="11">
      <c r="A11" s="11" t="n">
        <v>8</v>
      </c>
      <c r="B11" s="11" t="inlineStr">
        <is>
          <t>79.9%</t>
        </is>
      </c>
      <c r="C11" s="11" t="n">
        <v>307</v>
      </c>
      <c r="D11" s="12" t="n">
        <v>0.9577</v>
      </c>
      <c r="E11" s="12" t="n">
        <v>0.0149</v>
      </c>
      <c r="F11" s="11" t="n">
        <v>884</v>
      </c>
      <c r="G11" s="12" t="n">
        <v>0.9718</v>
      </c>
      <c r="H11" s="12" t="n">
        <v>0.005</v>
      </c>
      <c r="I11" s="11" t="n">
        <v>399.3</v>
      </c>
      <c r="J11" s="13" t="n">
        <v>0.0141</v>
      </c>
      <c r="K11" s="14" t="inlineStr">
        <is>
          <t>✅ M10 tốt hơn</t>
        </is>
      </c>
    </row>
    <row r="12">
      <c r="A12" s="7" t="n">
        <v>9</v>
      </c>
      <c r="B12" s="7" t="inlineStr">
        <is>
          <t>89.8%</t>
        </is>
      </c>
      <c r="C12" s="7" t="n">
        <v>345</v>
      </c>
      <c r="D12" s="8" t="n">
        <v>0.9665</v>
      </c>
      <c r="E12" s="8" t="n">
        <v>0.0058</v>
      </c>
      <c r="F12" s="7" t="n">
        <v>838.6</v>
      </c>
      <c r="G12" s="8" t="n">
        <v>0.9648</v>
      </c>
      <c r="H12" s="8" t="n">
        <v>0.01</v>
      </c>
      <c r="I12" s="7" t="n">
        <v>403.4</v>
      </c>
      <c r="J12" s="9" t="n">
        <v>-0.0018</v>
      </c>
      <c r="K12" s="10" t="inlineStr">
        <is>
          <t>❌ Baseline tốt hơn</t>
        </is>
      </c>
    </row>
    <row r="13">
      <c r="A13" s="11" t="n">
        <v>10</v>
      </c>
      <c r="B13" s="11" t="inlineStr">
        <is>
          <t>100.0%</t>
        </is>
      </c>
      <c r="C13" s="11" t="n">
        <v>384</v>
      </c>
      <c r="D13" s="12" t="n">
        <v>0.9613</v>
      </c>
      <c r="E13" s="12" t="n">
        <v>0.0035</v>
      </c>
      <c r="F13" s="11" t="n">
        <v>910.2</v>
      </c>
      <c r="G13" s="12" t="n">
        <v>0.9613</v>
      </c>
      <c r="H13" s="12" t="n">
        <v>0.007900000000000001</v>
      </c>
      <c r="I13" s="11" t="n">
        <v>580.4</v>
      </c>
      <c r="J13" s="15" t="n">
        <v>0</v>
      </c>
      <c r="K13" s="16" t="inlineStr">
        <is>
          <t>➖ Tương đương</t>
        </is>
      </c>
    </row>
    <row r="14"/>
    <row r="15">
      <c r="A15" s="17" t="inlineStr">
        <is>
          <t>📊 Tổng kết:  ✅ M10 tốt hơn = 5 cấp  |  ❌ Baseline tốt hơn = 3 cấp  |  ➖ Tương đương = 2 cấp</t>
        </is>
      </c>
    </row>
  </sheetData>
  <mergeCells count="6">
    <mergeCell ref="D2:F2"/>
    <mergeCell ref="G2:I2"/>
    <mergeCell ref="J2:K2"/>
    <mergeCell ref="A15:K15"/>
    <mergeCell ref="A1:K1"/>
    <mergeCell ref="A2:C2"/>
  </mergeCells>
  <conditionalFormatting sqref="D4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conditionalFormatting sqref="G4:G13">
    <cfRule type="colorScale" priority="2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10" customWidth="1" min="4" max="4"/>
    <col width="19" customWidth="1" min="5" max="5"/>
    <col width="14" customWidth="1" min="6" max="6"/>
    <col width="19" customWidth="1" min="7" max="7"/>
    <col width="14" customWidth="1" min="8" max="8"/>
    <col width="10" customWidth="1" min="9" max="9"/>
    <col width="10" customWidth="1" min="10" max="10"/>
  </cols>
  <sheetData>
    <row r="1" ht="28" customHeight="1">
      <c r="A1" s="1" t="inlineStr">
        <is>
          <t>Biểu đồ so sánh Baseline vs M10 — breast-cancer-wisc-diag</t>
        </is>
      </c>
    </row>
    <row r="2"/>
    <row r="3">
      <c r="A3" s="6" t="inlineStr">
        <is>
          <t>Cấp</t>
        </is>
      </c>
      <c r="B3" s="6" t="inlineStr">
        <is>
          <t>% Data</t>
        </is>
      </c>
      <c r="C3" s="6" t="inlineStr">
        <is>
          <t>Acc Baseline</t>
        </is>
      </c>
      <c r="D3" s="6" t="inlineStr">
        <is>
          <t>Acc M10</t>
        </is>
      </c>
      <c r="E3" s="6" t="inlineStr">
        <is>
          <t>Time Baseline(s)</t>
        </is>
      </c>
      <c r="F3" s="6" t="inlineStr">
        <is>
          <t>Time M10(s)</t>
        </is>
      </c>
      <c r="G3" s="6" t="inlineStr">
        <is>
          <t>Mem Baseline(MB)</t>
        </is>
      </c>
      <c r="H3" s="6" t="inlineStr">
        <is>
          <t>Mem M10(MB)</t>
        </is>
      </c>
    </row>
    <row r="4">
      <c r="A4" s="18" t="n">
        <v>1</v>
      </c>
      <c r="B4" s="18" t="inlineStr">
        <is>
          <t>10%</t>
        </is>
      </c>
      <c r="C4" s="18" t="n">
        <v>0.9419</v>
      </c>
      <c r="D4" s="18" t="n">
        <v>0.9296</v>
      </c>
      <c r="E4" s="18" t="n">
        <v>619.9</v>
      </c>
      <c r="F4" s="18" t="n">
        <v>354.3</v>
      </c>
      <c r="G4" s="18" t="n">
        <v>1.5</v>
      </c>
      <c r="H4" s="18" t="n">
        <v>1.2</v>
      </c>
    </row>
    <row r="5">
      <c r="A5" s="18" t="n">
        <v>2</v>
      </c>
      <c r="B5" s="18" t="inlineStr">
        <is>
          <t>20%</t>
        </is>
      </c>
      <c r="C5" s="18" t="n">
        <v>0.9349</v>
      </c>
      <c r="D5" s="18" t="n">
        <v>0.9366</v>
      </c>
      <c r="E5" s="18" t="n">
        <v>861.3</v>
      </c>
      <c r="F5" s="18" t="n">
        <v>407.8</v>
      </c>
      <c r="G5" s="18" t="n">
        <v>1.3</v>
      </c>
      <c r="H5" s="18" t="n">
        <v>1.2</v>
      </c>
    </row>
    <row r="6">
      <c r="A6" s="18" t="n">
        <v>3</v>
      </c>
      <c r="B6" s="18" t="inlineStr">
        <is>
          <t>30%</t>
        </is>
      </c>
      <c r="C6" s="18" t="n">
        <v>0.9419</v>
      </c>
      <c r="D6" s="18" t="n">
        <v>0.9472</v>
      </c>
      <c r="E6" s="18" t="n">
        <v>829.7</v>
      </c>
      <c r="F6" s="18" t="n">
        <v>398.3</v>
      </c>
      <c r="G6" s="18" t="n">
        <v>1.3</v>
      </c>
      <c r="H6" s="18" t="n">
        <v>1.2</v>
      </c>
    </row>
    <row r="7">
      <c r="A7" s="18" t="n">
        <v>4</v>
      </c>
      <c r="B7" s="18" t="inlineStr">
        <is>
          <t>40%</t>
        </is>
      </c>
      <c r="C7" s="18" t="n">
        <v>0.9401</v>
      </c>
      <c r="D7" s="18" t="n">
        <v>0.9525</v>
      </c>
      <c r="E7" s="18" t="n">
        <v>829.4</v>
      </c>
      <c r="F7" s="18" t="n">
        <v>377.1</v>
      </c>
      <c r="G7" s="18" t="n">
        <v>1.4</v>
      </c>
      <c r="H7" s="18" t="n">
        <v>1.3</v>
      </c>
    </row>
    <row r="8">
      <c r="A8" s="18" t="n">
        <v>5</v>
      </c>
      <c r="B8" s="18" t="inlineStr">
        <is>
          <t>50%</t>
        </is>
      </c>
      <c r="C8" s="18" t="n">
        <v>0.9525</v>
      </c>
      <c r="D8" s="18" t="n">
        <v>0.9349</v>
      </c>
      <c r="E8" s="18" t="n">
        <v>799</v>
      </c>
      <c r="F8" s="18" t="n">
        <v>386.2</v>
      </c>
      <c r="G8" s="18" t="n">
        <v>1.5</v>
      </c>
      <c r="H8" s="18" t="n">
        <v>1.3</v>
      </c>
    </row>
    <row r="9">
      <c r="A9" s="18" t="n">
        <v>6</v>
      </c>
      <c r="B9" s="18" t="inlineStr">
        <is>
          <t>60%</t>
        </is>
      </c>
      <c r="C9" s="18" t="n">
        <v>0.9489</v>
      </c>
      <c r="D9" s="18" t="n">
        <v>0.9577</v>
      </c>
      <c r="E9" s="18" t="n">
        <v>814.6</v>
      </c>
      <c r="F9" s="18" t="n">
        <v>409.7</v>
      </c>
      <c r="G9" s="18" t="n">
        <v>1.3</v>
      </c>
      <c r="H9" s="18" t="n">
        <v>1.3</v>
      </c>
    </row>
    <row r="10">
      <c r="A10" s="18" t="n">
        <v>7</v>
      </c>
      <c r="B10" s="18" t="inlineStr">
        <is>
          <t>70%</t>
        </is>
      </c>
      <c r="C10" s="18" t="n">
        <v>0.9613</v>
      </c>
      <c r="D10" s="18" t="n">
        <v>0.9613</v>
      </c>
      <c r="E10" s="18" t="n">
        <v>818.5</v>
      </c>
      <c r="F10" s="18" t="n">
        <v>397.3</v>
      </c>
      <c r="G10" s="18" t="n">
        <v>1.3</v>
      </c>
      <c r="H10" s="18" t="n">
        <v>1.3</v>
      </c>
    </row>
    <row r="11">
      <c r="A11" s="18" t="n">
        <v>8</v>
      </c>
      <c r="B11" s="18" t="inlineStr">
        <is>
          <t>80%</t>
        </is>
      </c>
      <c r="C11" s="18" t="n">
        <v>0.9577</v>
      </c>
      <c r="D11" s="18" t="n">
        <v>0.9718</v>
      </c>
      <c r="E11" s="18" t="n">
        <v>884</v>
      </c>
      <c r="F11" s="18" t="n">
        <v>399.3</v>
      </c>
      <c r="G11" s="18" t="n">
        <v>1.4</v>
      </c>
      <c r="H11" s="18" t="n">
        <v>1.3</v>
      </c>
    </row>
    <row r="12">
      <c r="A12" s="18" t="n">
        <v>9</v>
      </c>
      <c r="B12" s="18" t="inlineStr">
        <is>
          <t>90%</t>
        </is>
      </c>
      <c r="C12" s="18" t="n">
        <v>0.9665</v>
      </c>
      <c r="D12" s="18" t="n">
        <v>0.9648</v>
      </c>
      <c r="E12" s="18" t="n">
        <v>838.6</v>
      </c>
      <c r="F12" s="18" t="n">
        <v>403.4</v>
      </c>
      <c r="G12" s="18" t="n">
        <v>1.4</v>
      </c>
      <c r="H12" s="18" t="n">
        <v>1.4</v>
      </c>
    </row>
    <row r="13">
      <c r="A13" s="18" t="n">
        <v>10</v>
      </c>
      <c r="B13" s="18" t="inlineStr">
        <is>
          <t>100%</t>
        </is>
      </c>
      <c r="C13" s="18" t="n">
        <v>0.9613</v>
      </c>
      <c r="D13" s="18" t="n">
        <v>0.9613</v>
      </c>
      <c r="E13" s="18" t="n">
        <v>910.2</v>
      </c>
      <c r="F13" s="18" t="n">
        <v>580.4</v>
      </c>
      <c r="G13" s="18" t="n">
        <v>1.8</v>
      </c>
      <c r="H13" s="18" t="n">
        <v>1.7</v>
      </c>
    </row>
  </sheetData>
  <mergeCells count="1">
    <mergeCell ref="A1:J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 — 9.9% data  (38/384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0.9534883720930233</v>
      </c>
      <c r="E4" s="15" t="n">
        <v>0.9534883720930233</v>
      </c>
      <c r="F4" s="15" t="n">
        <v>0.9507042253521126</v>
      </c>
      <c r="G4" s="15" t="n">
        <v>0.9475157083267332</v>
      </c>
      <c r="H4" s="15" t="n">
        <v>0.9507953258385521</v>
      </c>
      <c r="I4" s="15" t="n">
        <v>0.9459175084175084</v>
      </c>
      <c r="J4" s="15" t="n">
        <v>0.9492262030951877</v>
      </c>
      <c r="K4" s="16" t="n">
        <v>100</v>
      </c>
      <c r="L4" s="16" t="n">
        <v>2</v>
      </c>
      <c r="M4" s="16" t="n">
        <v>134.64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0.9534883720930233</v>
      </c>
      <c r="E5" s="15" t="n">
        <v>0.9534883720930233</v>
      </c>
      <c r="F5" s="15" t="n">
        <v>0.9507042253521126</v>
      </c>
      <c r="G5" s="15" t="n">
        <v>0.9466824009011425</v>
      </c>
      <c r="H5" s="15" t="n">
        <v>0.9503948542404996</v>
      </c>
      <c r="I5" s="15" t="n">
        <v>0.9528260869565217</v>
      </c>
      <c r="J5" s="15" t="n">
        <v>0.9415942336230655</v>
      </c>
      <c r="K5" s="16" t="n">
        <v>100</v>
      </c>
      <c r="L5" s="16" t="n">
        <v>1.4</v>
      </c>
      <c r="M5" s="16" t="n">
        <v>129.83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0.9534883720930233</v>
      </c>
      <c r="E6" s="15" t="n">
        <v>0.9534883720930233</v>
      </c>
      <c r="F6" s="15" t="n">
        <v>0.9295774647887324</v>
      </c>
      <c r="G6" s="15" t="n">
        <v>0.9258098223615465</v>
      </c>
      <c r="H6" s="15" t="n">
        <v>0.9300484200921306</v>
      </c>
      <c r="I6" s="15" t="n">
        <v>0.9209494324045407</v>
      </c>
      <c r="J6" s="15" t="n">
        <v>0.932372270510918</v>
      </c>
      <c r="K6" s="16" t="n">
        <v>100</v>
      </c>
      <c r="L6" s="16" t="n">
        <v>1.4</v>
      </c>
      <c r="M6" s="16" t="n">
        <v>177.2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0.9534883720930233</v>
      </c>
      <c r="E7" s="15" t="n">
        <v>0.9534883720930233</v>
      </c>
      <c r="F7" s="15" t="n">
        <v>0.9366197183098591</v>
      </c>
      <c r="G7" s="15" t="n">
        <v>0.9330013106159896</v>
      </c>
      <c r="H7" s="15" t="n">
        <v>0.9369486644638474</v>
      </c>
      <c r="I7" s="15" t="n">
        <v>0.9289867109634552</v>
      </c>
      <c r="J7" s="15" t="n">
        <v>0.9379902480390079</v>
      </c>
      <c r="K7" s="16" t="n">
        <v>100</v>
      </c>
      <c r="L7" s="16" t="n">
        <v>1.4</v>
      </c>
      <c r="M7" s="16" t="n">
        <v>178.23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6" t="inlineStr">
        <is>
          <t>Full Optimization (M10)</t>
        </is>
      </c>
      <c r="B10" s="16" t="inlineStr">
        <is>
          <t>Fold 1</t>
        </is>
      </c>
      <c r="C10" s="16" t="inlineStr">
        <is>
          <t>XGBoost</t>
        </is>
      </c>
      <c r="D10" s="15" t="n">
        <v>0.9534883720930233</v>
      </c>
      <c r="E10" s="15" t="n">
        <v>0.9534883720930233</v>
      </c>
      <c r="F10" s="15" t="n">
        <v>0.9436619718309859</v>
      </c>
      <c r="G10" s="15" t="n">
        <v>0.9397922408310366</v>
      </c>
      <c r="H10" s="15" t="n">
        <v>0.9436619718309859</v>
      </c>
      <c r="I10" s="15" t="n">
        <v>0.9397922408310366</v>
      </c>
      <c r="J10" s="15" t="n">
        <v>0.9397922408310366</v>
      </c>
      <c r="K10" s="16" t="n">
        <v>55</v>
      </c>
      <c r="L10" s="16" t="n">
        <v>1.3</v>
      </c>
      <c r="M10" s="16" t="n">
        <v>93.06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0.9534883720930233</v>
      </c>
      <c r="E11" s="15" t="n">
        <v>0.9534883720930233</v>
      </c>
      <c r="F11" s="15" t="n">
        <v>0.9225352112676056</v>
      </c>
      <c r="G11" s="15" t="n">
        <v>0.9181127129750983</v>
      </c>
      <c r="H11" s="15" t="n">
        <v>0.9229372565669246</v>
      </c>
      <c r="I11" s="15" t="n">
        <v>0.9142441860465116</v>
      </c>
      <c r="J11" s="15" t="n">
        <v>0.922938308246767</v>
      </c>
      <c r="K11" s="16" t="n">
        <v>85</v>
      </c>
      <c r="L11" s="16" t="n">
        <v>1.2</v>
      </c>
      <c r="M11" s="16" t="n">
        <v>89.40000000000001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0.9534883720930233</v>
      </c>
      <c r="E12" s="15" t="n">
        <v>0.9534883720930233</v>
      </c>
      <c r="F12" s="15" t="n">
        <v>0.9295774647887324</v>
      </c>
      <c r="G12" s="15" t="n">
        <v>0.9258098223615465</v>
      </c>
      <c r="H12" s="15" t="n">
        <v>0.9300484200921306</v>
      </c>
      <c r="I12" s="15" t="n">
        <v>0.9209494324045407</v>
      </c>
      <c r="J12" s="15" t="n">
        <v>0.932372270510918</v>
      </c>
      <c r="K12" s="16" t="n">
        <v>60</v>
      </c>
      <c r="L12" s="16" t="n">
        <v>1.2</v>
      </c>
      <c r="M12" s="16" t="n">
        <v>87.39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5" t="n">
        <v>0.9534883720930233</v>
      </c>
      <c r="E13" s="15" t="n">
        <v>0.9534883720930233</v>
      </c>
      <c r="F13" s="15" t="n">
        <v>0.9225352112676056</v>
      </c>
      <c r="G13" s="15" t="n">
        <v>0.9181127129750983</v>
      </c>
      <c r="H13" s="15" t="n">
        <v>0.9229372565669246</v>
      </c>
      <c r="I13" s="15" t="n">
        <v>0.9142441860465116</v>
      </c>
      <c r="J13" s="15" t="n">
        <v>0.922938308246767</v>
      </c>
      <c r="K13" s="16" t="n">
        <v>55</v>
      </c>
      <c r="L13" s="16" t="n">
        <v>1.2</v>
      </c>
      <c r="M13" s="16" t="n">
        <v>84.42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2 — 19.8% data  (76/384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0.9767441860465116</v>
      </c>
      <c r="E4" s="15" t="n">
        <v>0.9767441860465116</v>
      </c>
      <c r="F4" s="15" t="n">
        <v>0.9295774647887324</v>
      </c>
      <c r="G4" s="15" t="n">
        <v>0.9228260869565217</v>
      </c>
      <c r="H4" s="15" t="n">
        <v>0.9286129822412736</v>
      </c>
      <c r="I4" s="15" t="n">
        <v>0.9366181410974244</v>
      </c>
      <c r="J4" s="15" t="n">
        <v>0.9132923468306127</v>
      </c>
      <c r="K4" s="16" t="n">
        <v>100</v>
      </c>
      <c r="L4" s="16" t="n">
        <v>1.5</v>
      </c>
      <c r="M4" s="16" t="n">
        <v>184.15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0.9767441860465116</v>
      </c>
      <c r="E5" s="15" t="n">
        <v>0.9767441860465116</v>
      </c>
      <c r="F5" s="15" t="n">
        <v>0.9436619718309859</v>
      </c>
      <c r="G5" s="15" t="n">
        <v>0.9388062917474682</v>
      </c>
      <c r="H5" s="15" t="n">
        <v>0.9431764038226341</v>
      </c>
      <c r="I5" s="15" t="n">
        <v>0.9473337722185649</v>
      </c>
      <c r="J5" s="15" t="n">
        <v>0.9321602713589145</v>
      </c>
      <c r="K5" s="16" t="n">
        <v>100</v>
      </c>
      <c r="L5" s="16" t="n">
        <v>1.3</v>
      </c>
      <c r="M5" s="16" t="n">
        <v>237.09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0.9767441860465116</v>
      </c>
      <c r="E6" s="15" t="n">
        <v>0.9767441860465116</v>
      </c>
      <c r="F6" s="15" t="n">
        <v>0.9295774647887324</v>
      </c>
      <c r="G6" s="15" t="n">
        <v>0.9228260869565217</v>
      </c>
      <c r="H6" s="15" t="n">
        <v>0.9286129822412736</v>
      </c>
      <c r="I6" s="15" t="n">
        <v>0.9366181410974244</v>
      </c>
      <c r="J6" s="15" t="n">
        <v>0.9132923468306127</v>
      </c>
      <c r="K6" s="16" t="n">
        <v>100</v>
      </c>
      <c r="L6" s="16" t="n">
        <v>1.3</v>
      </c>
      <c r="M6" s="16" t="n">
        <v>216.81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0.9767441860465116</v>
      </c>
      <c r="E7" s="15" t="n">
        <v>0.9767441860465116</v>
      </c>
      <c r="F7" s="15" t="n">
        <v>0.9366197183098591</v>
      </c>
      <c r="G7" s="15" t="n">
        <v>0.9308553806200293</v>
      </c>
      <c r="H7" s="15" t="n">
        <v>0.9359167502989042</v>
      </c>
      <c r="I7" s="15" t="n">
        <v>0.9419326241134751</v>
      </c>
      <c r="J7" s="15" t="n">
        <v>0.9227263090947636</v>
      </c>
      <c r="K7" s="16" t="n">
        <v>100</v>
      </c>
      <c r="L7" s="16" t="n">
        <v>1.3</v>
      </c>
      <c r="M7" s="16" t="n">
        <v>223.21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6" t="inlineStr">
        <is>
          <t>Full Optimization (M10)</t>
        </is>
      </c>
      <c r="B10" s="16" t="inlineStr">
        <is>
          <t>Fold 1</t>
        </is>
      </c>
      <c r="C10" s="16" t="inlineStr">
        <is>
          <t>XGBoost</t>
        </is>
      </c>
      <c r="D10" s="15" t="n">
        <v>0.9767441860465116</v>
      </c>
      <c r="E10" s="15" t="n">
        <v>0.9767441860465116</v>
      </c>
      <c r="F10" s="15" t="n">
        <v>0.9366197183098591</v>
      </c>
      <c r="G10" s="15" t="n">
        <v>0.9308553806200293</v>
      </c>
      <c r="H10" s="15" t="n">
        <v>0.9359167502989042</v>
      </c>
      <c r="I10" s="15" t="n">
        <v>0.9419326241134751</v>
      </c>
      <c r="J10" s="15" t="n">
        <v>0.9227263090947636</v>
      </c>
      <c r="K10" s="16" t="n">
        <v>55</v>
      </c>
      <c r="L10" s="16" t="n">
        <v>1.3</v>
      </c>
      <c r="M10" s="16" t="n">
        <v>97.09999999999999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0.9767441860465116</v>
      </c>
      <c r="E11" s="15" t="n">
        <v>0.9767441860465116</v>
      </c>
      <c r="F11" s="15" t="n">
        <v>0.9295774647887324</v>
      </c>
      <c r="G11" s="15" t="n">
        <v>0.9228260869565217</v>
      </c>
      <c r="H11" s="15" t="n">
        <v>0.9286129822412736</v>
      </c>
      <c r="I11" s="15" t="n">
        <v>0.9366181410974244</v>
      </c>
      <c r="J11" s="15" t="n">
        <v>0.9132923468306127</v>
      </c>
      <c r="K11" s="16" t="n">
        <v>55</v>
      </c>
      <c r="L11" s="16" t="n">
        <v>1.2</v>
      </c>
      <c r="M11" s="16" t="n">
        <v>101.8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0.9534883720930233</v>
      </c>
      <c r="E12" s="15" t="n">
        <v>0.9767441860465116</v>
      </c>
      <c r="F12" s="15" t="n">
        <v>0.9507042253521126</v>
      </c>
      <c r="G12" s="15" t="n">
        <v>0.9462208515933561</v>
      </c>
      <c r="H12" s="15" t="n">
        <v>0.9501574724547033</v>
      </c>
      <c r="I12" s="15" t="n">
        <v>0.957668439716312</v>
      </c>
      <c r="J12" s="15" t="n">
        <v>0.9377782488870045</v>
      </c>
      <c r="K12" s="16" t="n">
        <v>55</v>
      </c>
      <c r="L12" s="16" t="n">
        <v>1.3</v>
      </c>
      <c r="M12" s="16" t="n">
        <v>105.02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5" t="n">
        <v>0.9534883720930233</v>
      </c>
      <c r="E13" s="15" t="n">
        <v>0.9767441860465116</v>
      </c>
      <c r="F13" s="15" t="n">
        <v>0.9295774647887324</v>
      </c>
      <c r="G13" s="15" t="n">
        <v>0.9228260869565217</v>
      </c>
      <c r="H13" s="15" t="n">
        <v>0.9286129822412736</v>
      </c>
      <c r="I13" s="15" t="n">
        <v>0.9366181410974244</v>
      </c>
      <c r="J13" s="15" t="n">
        <v>0.9132923468306127</v>
      </c>
      <c r="K13" s="16" t="n">
        <v>55</v>
      </c>
      <c r="L13" s="16" t="n">
        <v>1.2</v>
      </c>
      <c r="M13" s="16" t="n">
        <v>103.84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3 — 29.9% data  (115/384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0.9534883720930233</v>
      </c>
      <c r="E4" s="15" t="n">
        <v>0.9767441860465116</v>
      </c>
      <c r="F4" s="15" t="n">
        <v>0.9647887323943662</v>
      </c>
      <c r="G4" s="15" t="n">
        <v>0.9622239957435488</v>
      </c>
      <c r="H4" s="15" t="n">
        <v>0.9647194151875874</v>
      </c>
      <c r="I4" s="15" t="n">
        <v>0.9641025641025641</v>
      </c>
      <c r="J4" s="15" t="n">
        <v>0.9604621581513674</v>
      </c>
      <c r="K4" s="16" t="n">
        <v>100</v>
      </c>
      <c r="L4" s="16" t="n">
        <v>1.3</v>
      </c>
      <c r="M4" s="16" t="n">
        <v>204.05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0.9534883720930233</v>
      </c>
      <c r="E5" s="15" t="n">
        <v>0.9767441860465116</v>
      </c>
      <c r="F5" s="15" t="n">
        <v>0.9366197183098591</v>
      </c>
      <c r="G5" s="15" t="n">
        <v>0.9325201964200855</v>
      </c>
      <c r="H5" s="15" t="n">
        <v>0.9367368475067097</v>
      </c>
      <c r="I5" s="15" t="n">
        <v>0.930976430976431</v>
      </c>
      <c r="J5" s="15" t="n">
        <v>0.9341742633029468</v>
      </c>
      <c r="K5" s="16" t="n">
        <v>100</v>
      </c>
      <c r="L5" s="16" t="n">
        <v>1.3</v>
      </c>
      <c r="M5" s="16" t="n">
        <v>204.11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0.9534883720930233</v>
      </c>
      <c r="E6" s="15" t="n">
        <v>0.9767441860465116</v>
      </c>
      <c r="F6" s="15" t="n">
        <v>0.9436619718309859</v>
      </c>
      <c r="G6" s="15" t="n">
        <v>0.9393162393162393</v>
      </c>
      <c r="H6" s="15" t="n">
        <v>0.9434332490670521</v>
      </c>
      <c r="I6" s="15" t="n">
        <v>0.9431157078215902</v>
      </c>
      <c r="J6" s="15" t="n">
        <v>0.9359762560949756</v>
      </c>
      <c r="K6" s="16" t="n">
        <v>100</v>
      </c>
      <c r="L6" s="16" t="n">
        <v>1.3</v>
      </c>
      <c r="M6" s="16" t="n">
        <v>203.06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0.9534883720930233</v>
      </c>
      <c r="E7" s="15" t="n">
        <v>0.9534883720930233</v>
      </c>
      <c r="F7" s="15" t="n">
        <v>0.9225352112676056</v>
      </c>
      <c r="G7" s="15" t="n">
        <v>0.9138872043662826</v>
      </c>
      <c r="H7" s="15" t="n">
        <v>0.9208056098873409</v>
      </c>
      <c r="I7" s="15" t="n">
        <v>0.9376159554730983</v>
      </c>
      <c r="J7" s="15" t="n">
        <v>0.9000423998304007</v>
      </c>
      <c r="K7" s="16" t="n">
        <v>100</v>
      </c>
      <c r="L7" s="16" t="n">
        <v>1.4</v>
      </c>
      <c r="M7" s="16" t="n">
        <v>218.51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6" t="inlineStr">
        <is>
          <t>Full Optimization (M10)</t>
        </is>
      </c>
      <c r="B10" s="16" t="inlineStr">
        <is>
          <t>Fold 1</t>
        </is>
      </c>
      <c r="C10" s="16" t="inlineStr">
        <is>
          <t>XGBoost</t>
        </is>
      </c>
      <c r="D10" s="15" t="n">
        <v>0.9302325581395349</v>
      </c>
      <c r="E10" s="15" t="n">
        <v>0.9534883720930233</v>
      </c>
      <c r="F10" s="15" t="n">
        <v>0.9366197183098591</v>
      </c>
      <c r="G10" s="15" t="n">
        <v>0.9308553806200293</v>
      </c>
      <c r="H10" s="15" t="n">
        <v>0.9359167502989042</v>
      </c>
      <c r="I10" s="15" t="n">
        <v>0.9419326241134751</v>
      </c>
      <c r="J10" s="15" t="n">
        <v>0.9227263090947636</v>
      </c>
      <c r="K10" s="16" t="n">
        <v>55</v>
      </c>
      <c r="L10" s="16" t="n">
        <v>1.1</v>
      </c>
      <c r="M10" s="16" t="n">
        <v>100.47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0.9534883720930233</v>
      </c>
      <c r="E11" s="15" t="n">
        <v>0.9534883720930233</v>
      </c>
      <c r="F11" s="15" t="n">
        <v>0.9507042253521126</v>
      </c>
      <c r="G11" s="15" t="n">
        <v>0.9466824009011425</v>
      </c>
      <c r="H11" s="15" t="n">
        <v>0.9503948542404996</v>
      </c>
      <c r="I11" s="15" t="n">
        <v>0.9528260869565217</v>
      </c>
      <c r="J11" s="15" t="n">
        <v>0.9415942336230655</v>
      </c>
      <c r="K11" s="16" t="n">
        <v>55</v>
      </c>
      <c r="L11" s="16" t="n">
        <v>1.3</v>
      </c>
      <c r="M11" s="16" t="n">
        <v>104.09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0.9534883720930233</v>
      </c>
      <c r="E12" s="15" t="n">
        <v>0.9534883720930233</v>
      </c>
      <c r="F12" s="15" t="n">
        <v>0.9577464788732394</v>
      </c>
      <c r="G12" s="15" t="n">
        <v>0.9541047188106011</v>
      </c>
      <c r="H12" s="15" t="n">
        <v>0.9573823028669756</v>
      </c>
      <c r="I12" s="15" t="n">
        <v>0.9629141979372394</v>
      </c>
      <c r="J12" s="15" t="n">
        <v>0.9472122111511554</v>
      </c>
      <c r="K12" s="16" t="n">
        <v>55</v>
      </c>
      <c r="L12" s="16" t="n">
        <v>1.3</v>
      </c>
      <c r="M12" s="16" t="n">
        <v>92.95999999999999</v>
      </c>
    </row>
    <row r="13">
      <c r="A13" s="14" t="inlineStr"/>
      <c r="B13" s="14" t="inlineStr">
        <is>
          <t>Fold 4</t>
        </is>
      </c>
      <c r="C13" s="14" t="inlineStr">
        <is>
          <t>Feat-XGBoost</t>
        </is>
      </c>
      <c r="D13" s="13" t="n">
        <v>0.9534883720930233</v>
      </c>
      <c r="E13" s="13" t="n">
        <v>0.9302325581395349</v>
      </c>
      <c r="F13" s="13" t="n">
        <v>0.9436619718309859</v>
      </c>
      <c r="G13" s="13" t="n">
        <v>0.9388062917474682</v>
      </c>
      <c r="H13" s="13" t="n">
        <v>0.9431764038226341</v>
      </c>
      <c r="I13" s="13" t="n">
        <v>0.9473337722185649</v>
      </c>
      <c r="J13" s="13" t="n">
        <v>0.9321602713589145</v>
      </c>
      <c r="K13" s="14" t="n">
        <v>60</v>
      </c>
      <c r="L13" s="14" t="n">
        <v>1.3</v>
      </c>
      <c r="M13" s="14" t="n">
        <v>100.73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4 — 39.8% data  (153/384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0.9534883720930233</v>
      </c>
      <c r="E4" s="15" t="n">
        <v>0.9534883720930233</v>
      </c>
      <c r="F4" s="15" t="n">
        <v>0.9366197183098591</v>
      </c>
      <c r="G4" s="15" t="n">
        <v>0.9302211302211303</v>
      </c>
      <c r="H4" s="15" t="n">
        <v>0.9355780876907638</v>
      </c>
      <c r="I4" s="15" t="n">
        <v>0.947463768115942</v>
      </c>
      <c r="J4" s="15" t="n">
        <v>0.9189103243587026</v>
      </c>
      <c r="K4" s="16" t="n">
        <v>100</v>
      </c>
      <c r="L4" s="16" t="n">
        <v>1.3</v>
      </c>
      <c r="M4" s="16" t="n">
        <v>203.17</v>
      </c>
    </row>
    <row r="5">
      <c r="A5" s="14" t="inlineStr"/>
      <c r="B5" s="14" t="inlineStr">
        <is>
          <t>Fold 2</t>
        </is>
      </c>
      <c r="C5" s="14" t="inlineStr">
        <is>
          <t>Feat-XGBoost</t>
        </is>
      </c>
      <c r="D5" s="13" t="n">
        <v>0.9767441860465116</v>
      </c>
      <c r="E5" s="13" t="n">
        <v>0.9534883720930233</v>
      </c>
      <c r="F5" s="13" t="n">
        <v>0.9436619718309859</v>
      </c>
      <c r="G5" s="13" t="n">
        <v>0.9376782971253017</v>
      </c>
      <c r="H5" s="13" t="n">
        <v>0.942574030975407</v>
      </c>
      <c r="I5" s="13" t="n">
        <v>0.9587628865979381</v>
      </c>
      <c r="J5" s="13" t="n">
        <v>0.9245283018867925</v>
      </c>
      <c r="K5" s="14" t="n">
        <v>100</v>
      </c>
      <c r="L5" s="14" t="n">
        <v>1.3</v>
      </c>
      <c r="M5" s="14" t="n">
        <v>215.36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0.9534883720930233</v>
      </c>
      <c r="E6" s="15" t="n">
        <v>0.9534883720930233</v>
      </c>
      <c r="F6" s="15" t="n">
        <v>0.9577464788732394</v>
      </c>
      <c r="G6" s="15" t="n">
        <v>0.9541047188106011</v>
      </c>
      <c r="H6" s="15" t="n">
        <v>0.9573823028669756</v>
      </c>
      <c r="I6" s="15" t="n">
        <v>0.9629141979372394</v>
      </c>
      <c r="J6" s="15" t="n">
        <v>0.9472122111511554</v>
      </c>
      <c r="K6" s="16" t="n">
        <v>100</v>
      </c>
      <c r="L6" s="16" t="n">
        <v>1.4</v>
      </c>
      <c r="M6" s="16" t="n">
        <v>200.73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0.9534883720930233</v>
      </c>
      <c r="E7" s="15" t="n">
        <v>0.9534883720930233</v>
      </c>
      <c r="F7" s="15" t="n">
        <v>0.9225352112676056</v>
      </c>
      <c r="G7" s="15" t="n">
        <v>0.9138872043662826</v>
      </c>
      <c r="H7" s="15" t="n">
        <v>0.9208056098873409</v>
      </c>
      <c r="I7" s="15" t="n">
        <v>0.9376159554730983</v>
      </c>
      <c r="J7" s="15" t="n">
        <v>0.9000423998304007</v>
      </c>
      <c r="K7" s="16" t="n">
        <v>100</v>
      </c>
      <c r="L7" s="16" t="n">
        <v>1.4</v>
      </c>
      <c r="M7" s="16" t="n">
        <v>210.13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6" t="inlineStr">
        <is>
          <t>Full Optimization (M10)</t>
        </is>
      </c>
      <c r="B10" s="16" t="inlineStr">
        <is>
          <t>Fold 1</t>
        </is>
      </c>
      <c r="C10" s="16" t="inlineStr">
        <is>
          <t>XGBoost</t>
        </is>
      </c>
      <c r="D10" s="15" t="n">
        <v>0.9534883720930233</v>
      </c>
      <c r="E10" s="15" t="n">
        <v>0.9534883720930233</v>
      </c>
      <c r="F10" s="15" t="n">
        <v>0.9507042253521126</v>
      </c>
      <c r="G10" s="15" t="n">
        <v>0.9466824009011425</v>
      </c>
      <c r="H10" s="15" t="n">
        <v>0.9503948542404996</v>
      </c>
      <c r="I10" s="15" t="n">
        <v>0.9528260869565217</v>
      </c>
      <c r="J10" s="15" t="n">
        <v>0.9415942336230655</v>
      </c>
      <c r="K10" s="16" t="n">
        <v>55</v>
      </c>
      <c r="L10" s="16" t="n">
        <v>1.4</v>
      </c>
      <c r="M10" s="16" t="n">
        <v>100.63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0.9534883720930233</v>
      </c>
      <c r="E11" s="15" t="n">
        <v>0.9534883720930233</v>
      </c>
      <c r="F11" s="15" t="n">
        <v>0.9507042253521126</v>
      </c>
      <c r="G11" s="15" t="n">
        <v>0.9466824009011425</v>
      </c>
      <c r="H11" s="15" t="n">
        <v>0.9503948542404996</v>
      </c>
      <c r="I11" s="15" t="n">
        <v>0.9528260869565217</v>
      </c>
      <c r="J11" s="15" t="n">
        <v>0.9415942336230655</v>
      </c>
      <c r="K11" s="16" t="n">
        <v>55</v>
      </c>
      <c r="L11" s="16" t="n">
        <v>1.2</v>
      </c>
      <c r="M11" s="16" t="n">
        <v>89.91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0.9534883720930233</v>
      </c>
      <c r="E12" s="15" t="n">
        <v>0.9534883720930233</v>
      </c>
      <c r="F12" s="15" t="n">
        <v>0.9577464788732394</v>
      </c>
      <c r="G12" s="15" t="n">
        <v>0.9541047188106011</v>
      </c>
      <c r="H12" s="15" t="n">
        <v>0.9573823028669756</v>
      </c>
      <c r="I12" s="15" t="n">
        <v>0.9629141979372394</v>
      </c>
      <c r="J12" s="15" t="n">
        <v>0.9472122111511554</v>
      </c>
      <c r="K12" s="16" t="n">
        <v>55</v>
      </c>
      <c r="L12" s="16" t="n">
        <v>1.2</v>
      </c>
      <c r="M12" s="16" t="n">
        <v>94.13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5" t="n">
        <v>0.9534883720930233</v>
      </c>
      <c r="E13" s="15" t="n">
        <v>0.9534883720930233</v>
      </c>
      <c r="F13" s="15" t="n">
        <v>0.9507042253521126</v>
      </c>
      <c r="G13" s="15" t="n">
        <v>0.9462208515933561</v>
      </c>
      <c r="H13" s="15" t="n">
        <v>0.9501574724547033</v>
      </c>
      <c r="I13" s="15" t="n">
        <v>0.957668439716312</v>
      </c>
      <c r="J13" s="15" t="n">
        <v>0.9377782488870045</v>
      </c>
      <c r="K13" s="16" t="n">
        <v>55</v>
      </c>
      <c r="L13" s="16" t="n">
        <v>1.3</v>
      </c>
      <c r="M13" s="16" t="n">
        <v>92.47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5 — 50.0% data  (192/384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0.9767441860465116</v>
      </c>
      <c r="E4" s="15" t="n">
        <v>0.9767441860465116</v>
      </c>
      <c r="F4" s="15" t="n">
        <v>0.9507042253521126</v>
      </c>
      <c r="G4" s="15" t="n">
        <v>0.9466824009011425</v>
      </c>
      <c r="H4" s="15" t="n">
        <v>0.9503948542404996</v>
      </c>
      <c r="I4" s="15" t="n">
        <v>0.9528260869565217</v>
      </c>
      <c r="J4" s="15" t="n">
        <v>0.9415942336230655</v>
      </c>
      <c r="K4" s="16" t="n">
        <v>100</v>
      </c>
      <c r="L4" s="16" t="n">
        <v>1.5</v>
      </c>
      <c r="M4" s="16" t="n">
        <v>197.07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0.9767441860465116</v>
      </c>
      <c r="E5" s="15" t="n">
        <v>0.9767441860465116</v>
      </c>
      <c r="F5" s="15" t="n">
        <v>0.9507042253521126</v>
      </c>
      <c r="G5" s="15" t="n">
        <v>0.9475157083267332</v>
      </c>
      <c r="H5" s="15" t="n">
        <v>0.9507953258385521</v>
      </c>
      <c r="I5" s="15" t="n">
        <v>0.9459175084175084</v>
      </c>
      <c r="J5" s="15" t="n">
        <v>0.9492262030951877</v>
      </c>
      <c r="K5" s="16" t="n">
        <v>100</v>
      </c>
      <c r="L5" s="16" t="n">
        <v>1.4</v>
      </c>
      <c r="M5" s="16" t="n">
        <v>200.08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0.9767441860465116</v>
      </c>
      <c r="E6" s="15" t="n">
        <v>0.9767441860465116</v>
      </c>
      <c r="F6" s="15" t="n">
        <v>0.9647887323943662</v>
      </c>
      <c r="G6" s="15" t="n">
        <v>0.9619160006436732</v>
      </c>
      <c r="H6" s="15" t="n">
        <v>0.9645677530289283</v>
      </c>
      <c r="I6" s="15" t="n">
        <v>0.9682608695652174</v>
      </c>
      <c r="J6" s="15" t="n">
        <v>0.9566461734153063</v>
      </c>
      <c r="K6" s="16" t="n">
        <v>100</v>
      </c>
      <c r="L6" s="16" t="n">
        <v>1.5</v>
      </c>
      <c r="M6" s="16" t="n">
        <v>198.08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0.9767441860465116</v>
      </c>
      <c r="E7" s="15" t="n">
        <v>0.9767441860465116</v>
      </c>
      <c r="F7" s="15" t="n">
        <v>0.9436619718309859</v>
      </c>
      <c r="G7" s="15" t="n">
        <v>0.9393162393162393</v>
      </c>
      <c r="H7" s="15" t="n">
        <v>0.9434332490670521</v>
      </c>
      <c r="I7" s="15" t="n">
        <v>0.9431157078215902</v>
      </c>
      <c r="J7" s="15" t="n">
        <v>0.9359762560949756</v>
      </c>
      <c r="K7" s="16" t="n">
        <v>100</v>
      </c>
      <c r="L7" s="16" t="n">
        <v>1.5</v>
      </c>
      <c r="M7" s="16" t="n">
        <v>203.73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6" t="inlineStr">
        <is>
          <t>Full Optimization (M10)</t>
        </is>
      </c>
      <c r="B10" s="16" t="inlineStr">
        <is>
          <t>Fold 1</t>
        </is>
      </c>
      <c r="C10" s="16" t="inlineStr">
        <is>
          <t>XGBoost</t>
        </is>
      </c>
      <c r="D10" s="15" t="n">
        <v>0.9767441860465116</v>
      </c>
      <c r="E10" s="15" t="n">
        <v>0.9767441860465116</v>
      </c>
      <c r="F10" s="15" t="n">
        <v>0.9366197183098591</v>
      </c>
      <c r="G10" s="15" t="n">
        <v>0.9320031923383878</v>
      </c>
      <c r="H10" s="15" t="n">
        <v>0.9364949473376573</v>
      </c>
      <c r="I10" s="15" t="n">
        <v>0.9337606837606838</v>
      </c>
      <c r="J10" s="15" t="n">
        <v>0.9303582785668858</v>
      </c>
      <c r="K10" s="16" t="n">
        <v>65</v>
      </c>
      <c r="L10" s="16" t="n">
        <v>1.3</v>
      </c>
      <c r="M10" s="16" t="n">
        <v>92.65000000000001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0.9767441860465116</v>
      </c>
      <c r="E11" s="15" t="n">
        <v>0.9767441860465116</v>
      </c>
      <c r="F11" s="15" t="n">
        <v>0.9154929577464789</v>
      </c>
      <c r="G11" s="15" t="n">
        <v>0.9103535353535352</v>
      </c>
      <c r="H11" s="15" t="n">
        <v>0.9157952767107695</v>
      </c>
      <c r="I11" s="15" t="n">
        <v>0.9076280041797282</v>
      </c>
      <c r="J11" s="15" t="n">
        <v>0.9135043459826161</v>
      </c>
      <c r="K11" s="16" t="n">
        <v>55</v>
      </c>
      <c r="L11" s="16" t="n">
        <v>1.2</v>
      </c>
      <c r="M11" s="16" t="n">
        <v>93.92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0.9767441860465116</v>
      </c>
      <c r="E12" s="15" t="n">
        <v>0.9767441860465116</v>
      </c>
      <c r="F12" s="15" t="n">
        <v>0.9366197183098591</v>
      </c>
      <c r="G12" s="15" t="n">
        <v>0.9314488011586118</v>
      </c>
      <c r="H12" s="15" t="n">
        <v>0.936221955452071</v>
      </c>
      <c r="I12" s="15" t="n">
        <v>0.9373913043478261</v>
      </c>
      <c r="J12" s="15" t="n">
        <v>0.9265422938308248</v>
      </c>
      <c r="K12" s="16" t="n">
        <v>55</v>
      </c>
      <c r="L12" s="16" t="n">
        <v>1.2</v>
      </c>
      <c r="M12" s="16" t="n">
        <v>100.12</v>
      </c>
    </row>
    <row r="13">
      <c r="A13" s="14" t="inlineStr"/>
      <c r="B13" s="14" t="inlineStr">
        <is>
          <t>Fold 4</t>
        </is>
      </c>
      <c r="C13" s="14" t="inlineStr">
        <is>
          <t>Feat-XGBoost</t>
        </is>
      </c>
      <c r="D13" s="13" t="n">
        <v>0.9767441860465116</v>
      </c>
      <c r="E13" s="13" t="n">
        <v>0.9534883720930233</v>
      </c>
      <c r="F13" s="13" t="n">
        <v>0.9507042253521126</v>
      </c>
      <c r="G13" s="13" t="n">
        <v>0.9462208515933561</v>
      </c>
      <c r="H13" s="13" t="n">
        <v>0.9501574724547033</v>
      </c>
      <c r="I13" s="13" t="n">
        <v>0.957668439716312</v>
      </c>
      <c r="J13" s="13" t="n">
        <v>0.9377782488870045</v>
      </c>
      <c r="K13" s="14" t="n">
        <v>55</v>
      </c>
      <c r="L13" s="14" t="n">
        <v>1.4</v>
      </c>
      <c r="M13" s="14" t="n">
        <v>99.47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6 — 59.9% data  (230/384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0.9767441860465116</v>
      </c>
      <c r="E4" s="15" t="n">
        <v>0.9767441860465116</v>
      </c>
      <c r="F4" s="15" t="n">
        <v>0.9647887323943662</v>
      </c>
      <c r="G4" s="15" t="n">
        <v>0.9622239957435488</v>
      </c>
      <c r="H4" s="15" t="n">
        <v>0.9647194151875874</v>
      </c>
      <c r="I4" s="15" t="n">
        <v>0.9641025641025641</v>
      </c>
      <c r="J4" s="15" t="n">
        <v>0.9604621581513674</v>
      </c>
      <c r="K4" s="16" t="n">
        <v>100</v>
      </c>
      <c r="L4" s="16" t="n">
        <v>1.3</v>
      </c>
      <c r="M4" s="16" t="n">
        <v>198.57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0.9767441860465116</v>
      </c>
      <c r="E5" s="15" t="n">
        <v>0.9767441860465116</v>
      </c>
      <c r="F5" s="15" t="n">
        <v>0.9577464788732394</v>
      </c>
      <c r="G5" s="15" t="n">
        <v>0.9541047188106011</v>
      </c>
      <c r="H5" s="15" t="n">
        <v>0.9573823028669756</v>
      </c>
      <c r="I5" s="15" t="n">
        <v>0.9629141979372394</v>
      </c>
      <c r="J5" s="15" t="n">
        <v>0.9472122111511554</v>
      </c>
      <c r="K5" s="16" t="n">
        <v>100</v>
      </c>
      <c r="L5" s="16" t="n">
        <v>1.3</v>
      </c>
      <c r="M5" s="16" t="n">
        <v>201.96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0.9534883720930233</v>
      </c>
      <c r="E6" s="15" t="n">
        <v>0.9767441860465116</v>
      </c>
      <c r="F6" s="15" t="n">
        <v>0.9366197183098591</v>
      </c>
      <c r="G6" s="15" t="n">
        <v>0.9308553806200293</v>
      </c>
      <c r="H6" s="15" t="n">
        <v>0.9359167502989042</v>
      </c>
      <c r="I6" s="15" t="n">
        <v>0.9419326241134751</v>
      </c>
      <c r="J6" s="15" t="n">
        <v>0.9227263090947636</v>
      </c>
      <c r="K6" s="16" t="n">
        <v>100</v>
      </c>
      <c r="L6" s="16" t="n">
        <v>1.4</v>
      </c>
      <c r="M6" s="16" t="n">
        <v>206.53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0.9767441860465116</v>
      </c>
      <c r="E7" s="15" t="n">
        <v>0.9767441860465116</v>
      </c>
      <c r="F7" s="15" t="n">
        <v>0.9366197183098591</v>
      </c>
      <c r="G7" s="15" t="n">
        <v>0.9314488011586118</v>
      </c>
      <c r="H7" s="15" t="n">
        <v>0.936221955452071</v>
      </c>
      <c r="I7" s="15" t="n">
        <v>0.9373913043478261</v>
      </c>
      <c r="J7" s="15" t="n">
        <v>0.9265422938308248</v>
      </c>
      <c r="K7" s="16" t="n">
        <v>100</v>
      </c>
      <c r="L7" s="16" t="n">
        <v>1.4</v>
      </c>
      <c r="M7" s="16" t="n">
        <v>207.48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4" t="inlineStr">
        <is>
          <t>Full Optimization (M10)</t>
        </is>
      </c>
      <c r="B10" s="14" t="inlineStr">
        <is>
          <t>Fold 1</t>
        </is>
      </c>
      <c r="C10" s="14" t="inlineStr">
        <is>
          <t>Feat-XGBoost</t>
        </is>
      </c>
      <c r="D10" s="13" t="n">
        <v>0.9767441860465116</v>
      </c>
      <c r="E10" s="13" t="n">
        <v>0.9302325581395349</v>
      </c>
      <c r="F10" s="13" t="n">
        <v>0.9647887323943662</v>
      </c>
      <c r="G10" s="13" t="n">
        <v>0.9615863225666829</v>
      </c>
      <c r="H10" s="13" t="n">
        <v>0.9643981946105024</v>
      </c>
      <c r="I10" s="13" t="n">
        <v>0.9734042553191489</v>
      </c>
      <c r="J10" s="13" t="n">
        <v>0.9528301886792453</v>
      </c>
      <c r="K10" s="14" t="n">
        <v>55</v>
      </c>
      <c r="L10" s="14" t="n">
        <v>1.4</v>
      </c>
      <c r="M10" s="14" t="n">
        <v>106.68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0.9767441860465116</v>
      </c>
      <c r="E11" s="15" t="n">
        <v>0.9767441860465116</v>
      </c>
      <c r="F11" s="15" t="n">
        <v>0.9366197183098591</v>
      </c>
      <c r="G11" s="15" t="n">
        <v>0.9320031923383878</v>
      </c>
      <c r="H11" s="15" t="n">
        <v>0.9364949473376573</v>
      </c>
      <c r="I11" s="15" t="n">
        <v>0.9337606837606838</v>
      </c>
      <c r="J11" s="15" t="n">
        <v>0.9303582785668858</v>
      </c>
      <c r="K11" s="16" t="n">
        <v>55</v>
      </c>
      <c r="L11" s="16" t="n">
        <v>1.3</v>
      </c>
      <c r="M11" s="16" t="n">
        <v>100.04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0.9534883720930233</v>
      </c>
      <c r="E12" s="15" t="n">
        <v>0.9534883720930233</v>
      </c>
      <c r="F12" s="15" t="n">
        <v>0.9647887323943662</v>
      </c>
      <c r="G12" s="15" t="n">
        <v>0.9622239957435488</v>
      </c>
      <c r="H12" s="15" t="n">
        <v>0.9647194151875874</v>
      </c>
      <c r="I12" s="15" t="n">
        <v>0.9641025641025641</v>
      </c>
      <c r="J12" s="15" t="n">
        <v>0.9604621581513674</v>
      </c>
      <c r="K12" s="16" t="n">
        <v>55</v>
      </c>
      <c r="L12" s="16" t="n">
        <v>1.2</v>
      </c>
      <c r="M12" s="16" t="n">
        <v>101</v>
      </c>
    </row>
    <row r="13">
      <c r="A13" s="14" t="inlineStr"/>
      <c r="B13" s="14" t="inlineStr">
        <is>
          <t>Fold 4</t>
        </is>
      </c>
      <c r="C13" s="14" t="inlineStr">
        <is>
          <t>Feat-XGBoost</t>
        </is>
      </c>
      <c r="D13" s="13" t="n">
        <v>0.9767441860465116</v>
      </c>
      <c r="E13" s="13" t="n">
        <v>0.9302325581395349</v>
      </c>
      <c r="F13" s="13" t="n">
        <v>0.9647887323943662</v>
      </c>
      <c r="G13" s="13" t="n">
        <v>0.9619160006436732</v>
      </c>
      <c r="H13" s="13" t="n">
        <v>0.9645677530289283</v>
      </c>
      <c r="I13" s="13" t="n">
        <v>0.9682608695652174</v>
      </c>
      <c r="J13" s="13" t="n">
        <v>0.9566461734153063</v>
      </c>
      <c r="K13" s="14" t="n">
        <v>55</v>
      </c>
      <c r="L13" s="14" t="n">
        <v>1.3</v>
      </c>
      <c r="M13" s="14" t="n">
        <v>101.97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7 — 69.8% data  (268/384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0.9767441860465116</v>
      </c>
      <c r="E4" s="15" t="n">
        <v>0.9767441860465116</v>
      </c>
      <c r="F4" s="15" t="n">
        <v>0.9577464788732394</v>
      </c>
      <c r="G4" s="15" t="n">
        <v>0.9548441806232775</v>
      </c>
      <c r="H4" s="15" t="n">
        <v>0.9577464788732394</v>
      </c>
      <c r="I4" s="15" t="n">
        <v>0.9548441806232775</v>
      </c>
      <c r="J4" s="15" t="n">
        <v>0.9548441806232775</v>
      </c>
      <c r="K4" s="16" t="n">
        <v>100</v>
      </c>
      <c r="L4" s="16" t="n">
        <v>1.3</v>
      </c>
      <c r="M4" s="16" t="n">
        <v>206.8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0.9767441860465116</v>
      </c>
      <c r="E5" s="15" t="n">
        <v>0.9767441860465116</v>
      </c>
      <c r="F5" s="15" t="n">
        <v>0.9577464788732394</v>
      </c>
      <c r="G5" s="15" t="n">
        <v>0.9544871794871794</v>
      </c>
      <c r="H5" s="15" t="n">
        <v>0.957574936800289</v>
      </c>
      <c r="I5" s="15" t="n">
        <v>0.9584141348847232</v>
      </c>
      <c r="J5" s="15" t="n">
        <v>0.9510281958872164</v>
      </c>
      <c r="K5" s="16" t="n">
        <v>100</v>
      </c>
      <c r="L5" s="16" t="n">
        <v>1.3</v>
      </c>
      <c r="M5" s="16" t="n">
        <v>204.94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0.9767441860465116</v>
      </c>
      <c r="E6" s="15" t="n">
        <v>0.9767441860465116</v>
      </c>
      <c r="F6" s="15" t="n">
        <v>0.9647887323943662</v>
      </c>
      <c r="G6" s="15" t="n">
        <v>0.9625112202333809</v>
      </c>
      <c r="H6" s="15" t="n">
        <v>0.9648538041703945</v>
      </c>
      <c r="I6" s="15" t="n">
        <v>0.9608585858585859</v>
      </c>
      <c r="J6" s="15" t="n">
        <v>0.9642781428874285</v>
      </c>
      <c r="K6" s="16" t="n">
        <v>100</v>
      </c>
      <c r="L6" s="16" t="n">
        <v>1.3</v>
      </c>
      <c r="M6" s="16" t="n">
        <v>201.84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0.9767441860465116</v>
      </c>
      <c r="E7" s="15" t="n">
        <v>0.9767441860465116</v>
      </c>
      <c r="F7" s="15" t="n">
        <v>0.9647887323943662</v>
      </c>
      <c r="G7" s="15" t="n">
        <v>0.9622239957435488</v>
      </c>
      <c r="H7" s="15" t="n">
        <v>0.9647194151875874</v>
      </c>
      <c r="I7" s="15" t="n">
        <v>0.9641025641025641</v>
      </c>
      <c r="J7" s="15" t="n">
        <v>0.9604621581513674</v>
      </c>
      <c r="K7" s="16" t="n">
        <v>100</v>
      </c>
      <c r="L7" s="16" t="n">
        <v>1.3</v>
      </c>
      <c r="M7" s="16" t="n">
        <v>204.91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6" t="inlineStr">
        <is>
          <t>Full Optimization (M10)</t>
        </is>
      </c>
      <c r="B10" s="16" t="inlineStr">
        <is>
          <t>Fold 1</t>
        </is>
      </c>
      <c r="C10" s="16" t="inlineStr">
        <is>
          <t>XGBoost</t>
        </is>
      </c>
      <c r="D10" s="15" t="n">
        <v>0.9767441860465116</v>
      </c>
      <c r="E10" s="15" t="n">
        <v>0.9767441860465116</v>
      </c>
      <c r="F10" s="15" t="n">
        <v>0.9647887323943662</v>
      </c>
      <c r="G10" s="15" t="n">
        <v>0.9625112202333809</v>
      </c>
      <c r="H10" s="15" t="n">
        <v>0.9648538041703945</v>
      </c>
      <c r="I10" s="15" t="n">
        <v>0.9608585858585859</v>
      </c>
      <c r="J10" s="15" t="n">
        <v>0.9642781428874285</v>
      </c>
      <c r="K10" s="16" t="n">
        <v>55</v>
      </c>
      <c r="L10" s="16" t="n">
        <v>1.3</v>
      </c>
      <c r="M10" s="16" t="n">
        <v>97.23999999999999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0.9767441860465116</v>
      </c>
      <c r="E11" s="15" t="n">
        <v>0.9767441860465116</v>
      </c>
      <c r="F11" s="15" t="n">
        <v>0.9577464788732394</v>
      </c>
      <c r="G11" s="15" t="n">
        <v>0.9548441806232775</v>
      </c>
      <c r="H11" s="15" t="n">
        <v>0.9577464788732394</v>
      </c>
      <c r="I11" s="15" t="n">
        <v>0.9548441806232775</v>
      </c>
      <c r="J11" s="15" t="n">
        <v>0.9548441806232775</v>
      </c>
      <c r="K11" s="16" t="n">
        <v>55</v>
      </c>
      <c r="L11" s="16" t="n">
        <v>1.3</v>
      </c>
      <c r="M11" s="16" t="n">
        <v>97.78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0.9767441860465116</v>
      </c>
      <c r="E12" s="15" t="n">
        <v>0.9767441860465116</v>
      </c>
      <c r="F12" s="15" t="n">
        <v>0.9577464788732394</v>
      </c>
      <c r="G12" s="15" t="n">
        <v>0.9548441806232775</v>
      </c>
      <c r="H12" s="15" t="n">
        <v>0.9577464788732394</v>
      </c>
      <c r="I12" s="15" t="n">
        <v>0.9548441806232775</v>
      </c>
      <c r="J12" s="15" t="n">
        <v>0.9548441806232775</v>
      </c>
      <c r="K12" s="16" t="n">
        <v>80</v>
      </c>
      <c r="L12" s="16" t="n">
        <v>1.2</v>
      </c>
      <c r="M12" s="16" t="n">
        <v>102.02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5" t="n">
        <v>0.9767441860465116</v>
      </c>
      <c r="E13" s="15" t="n">
        <v>0.9767441860465116</v>
      </c>
      <c r="F13" s="15" t="n">
        <v>0.9647887323943662</v>
      </c>
      <c r="G13" s="15" t="n">
        <v>0.9622239957435488</v>
      </c>
      <c r="H13" s="15" t="n">
        <v>0.9647194151875874</v>
      </c>
      <c r="I13" s="15" t="n">
        <v>0.9641025641025641</v>
      </c>
      <c r="J13" s="15" t="n">
        <v>0.9604621581513674</v>
      </c>
      <c r="K13" s="16" t="n">
        <v>55</v>
      </c>
      <c r="L13" s="16" t="n">
        <v>1.3</v>
      </c>
      <c r="M13" s="16" t="n">
        <v>100.2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8 — 79.9% data  (307/384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0.9534883720930233</v>
      </c>
      <c r="E4" s="15" t="n">
        <v>0.9767441860465116</v>
      </c>
      <c r="F4" s="15" t="n">
        <v>0.9507042253521126</v>
      </c>
      <c r="G4" s="15" t="n">
        <v>0.9471135940409683</v>
      </c>
      <c r="H4" s="15" t="n">
        <v>0.9506071812626224</v>
      </c>
      <c r="I4" s="15" t="n">
        <v>0.9489316239316239</v>
      </c>
      <c r="J4" s="15" t="n">
        <v>0.9454102183591266</v>
      </c>
      <c r="K4" s="16" t="n">
        <v>100</v>
      </c>
      <c r="L4" s="16" t="n">
        <v>1.4</v>
      </c>
      <c r="M4" s="16" t="n">
        <v>218.71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0.9534883720930233</v>
      </c>
      <c r="E5" s="15" t="n">
        <v>0.9534883720930233</v>
      </c>
      <c r="F5" s="15" t="n">
        <v>0.971830985915493</v>
      </c>
      <c r="G5" s="15" t="n">
        <v>0.9698961204155183</v>
      </c>
      <c r="H5" s="15" t="n">
        <v>0.971830985915493</v>
      </c>
      <c r="I5" s="15" t="n">
        <v>0.9698961204155183</v>
      </c>
      <c r="J5" s="15" t="n">
        <v>0.9698961204155183</v>
      </c>
      <c r="K5" s="16" t="n">
        <v>100</v>
      </c>
      <c r="L5" s="16" t="n">
        <v>1.4</v>
      </c>
      <c r="M5" s="16" t="n">
        <v>242.85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0.9767441860465116</v>
      </c>
      <c r="E6" s="15" t="n">
        <v>0.9767441860465116</v>
      </c>
      <c r="F6" s="15" t="n">
        <v>0.9366197183098591</v>
      </c>
      <c r="G6" s="15" t="n">
        <v>0.9320031923383878</v>
      </c>
      <c r="H6" s="15" t="n">
        <v>0.9364949473376573</v>
      </c>
      <c r="I6" s="15" t="n">
        <v>0.9337606837606838</v>
      </c>
      <c r="J6" s="15" t="n">
        <v>0.9303582785668858</v>
      </c>
      <c r="K6" s="16" t="n">
        <v>100</v>
      </c>
      <c r="L6" s="16" t="n">
        <v>1.4</v>
      </c>
      <c r="M6" s="16" t="n">
        <v>214.57</v>
      </c>
    </row>
    <row r="7">
      <c r="A7" s="14" t="inlineStr"/>
      <c r="B7" s="14" t="inlineStr">
        <is>
          <t>Fold 4</t>
        </is>
      </c>
      <c r="C7" s="14" t="inlineStr">
        <is>
          <t>Feat-XGBoost</t>
        </is>
      </c>
      <c r="D7" s="13" t="n">
        <v>0.9767441860465116</v>
      </c>
      <c r="E7" s="13" t="n">
        <v>0.9534883720930233</v>
      </c>
      <c r="F7" s="13" t="n">
        <v>0.971830985915493</v>
      </c>
      <c r="G7" s="13" t="n">
        <v>0.9698961204155183</v>
      </c>
      <c r="H7" s="13" t="n">
        <v>0.971830985915493</v>
      </c>
      <c r="I7" s="13" t="n">
        <v>0.9698961204155183</v>
      </c>
      <c r="J7" s="13" t="n">
        <v>0.9698961204155183</v>
      </c>
      <c r="K7" s="14" t="n">
        <v>100</v>
      </c>
      <c r="L7" s="14" t="n">
        <v>1.4</v>
      </c>
      <c r="M7" s="14" t="n">
        <v>207.88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6" t="inlineStr">
        <is>
          <t>Full Optimization (M10)</t>
        </is>
      </c>
      <c r="B10" s="16" t="inlineStr">
        <is>
          <t>Fold 1</t>
        </is>
      </c>
      <c r="C10" s="16" t="inlineStr">
        <is>
          <t>XGBoost</t>
        </is>
      </c>
      <c r="D10" s="15" t="n">
        <v>0.9534883720930233</v>
      </c>
      <c r="E10" s="15" t="n">
        <v>0.9534883720930233</v>
      </c>
      <c r="F10" s="15" t="n">
        <v>0.971830985915493</v>
      </c>
      <c r="G10" s="15" t="n">
        <v>0.9698961204155183</v>
      </c>
      <c r="H10" s="15" t="n">
        <v>0.971830985915493</v>
      </c>
      <c r="I10" s="15" t="n">
        <v>0.9698961204155183</v>
      </c>
      <c r="J10" s="15" t="n">
        <v>0.9698961204155183</v>
      </c>
      <c r="K10" s="16" t="n">
        <v>55</v>
      </c>
      <c r="L10" s="16" t="n">
        <v>1.3</v>
      </c>
      <c r="M10" s="16" t="n">
        <v>96.2</v>
      </c>
    </row>
    <row r="11">
      <c r="A11" s="14" t="inlineStr"/>
      <c r="B11" s="14" t="inlineStr">
        <is>
          <t>Fold 2</t>
        </is>
      </c>
      <c r="C11" s="14" t="inlineStr">
        <is>
          <t>Feat-XGBoost</t>
        </is>
      </c>
      <c r="D11" s="13" t="n">
        <v>0.9534883720930233</v>
      </c>
      <c r="E11" s="13" t="n">
        <v>0.9302325581395349</v>
      </c>
      <c r="F11" s="13" t="n">
        <v>0.9647887323943662</v>
      </c>
      <c r="G11" s="13" t="n">
        <v>0.9622239957435488</v>
      </c>
      <c r="H11" s="13" t="n">
        <v>0.9647194151875874</v>
      </c>
      <c r="I11" s="13" t="n">
        <v>0.9641025641025641</v>
      </c>
      <c r="J11" s="13" t="n">
        <v>0.9604621581513674</v>
      </c>
      <c r="K11" s="14" t="n">
        <v>55</v>
      </c>
      <c r="L11" s="14" t="n">
        <v>1.4</v>
      </c>
      <c r="M11" s="14" t="n">
        <v>95.40000000000001</v>
      </c>
    </row>
    <row r="12">
      <c r="A12" s="14" t="inlineStr"/>
      <c r="B12" s="14" t="inlineStr">
        <is>
          <t>Fold 3</t>
        </is>
      </c>
      <c r="C12" s="14" t="inlineStr">
        <is>
          <t>Feat-XGBoost</t>
        </is>
      </c>
      <c r="D12" s="13" t="n">
        <v>0.9534883720930233</v>
      </c>
      <c r="E12" s="13" t="n">
        <v>0.9302325581395349</v>
      </c>
      <c r="F12" s="13" t="n">
        <v>0.9788732394366197</v>
      </c>
      <c r="G12" s="13" t="n">
        <v>0.9773343974461293</v>
      </c>
      <c r="H12" s="13" t="n">
        <v>0.9788316491125524</v>
      </c>
      <c r="I12" s="13" t="n">
        <v>0.9792735042735042</v>
      </c>
      <c r="J12" s="13" t="n">
        <v>0.9755140979436082</v>
      </c>
      <c r="K12" s="14" t="n">
        <v>55</v>
      </c>
      <c r="L12" s="14" t="n">
        <v>1.3</v>
      </c>
      <c r="M12" s="14" t="n">
        <v>106.07</v>
      </c>
    </row>
    <row r="13">
      <c r="A13" s="14" t="inlineStr"/>
      <c r="B13" s="14" t="inlineStr">
        <is>
          <t>Fold 4</t>
        </is>
      </c>
      <c r="C13" s="14" t="inlineStr">
        <is>
          <t>Feat-XGBoost</t>
        </is>
      </c>
      <c r="D13" s="13" t="n">
        <v>0.9534883720930233</v>
      </c>
      <c r="E13" s="13" t="n">
        <v>0.9302325581395349</v>
      </c>
      <c r="F13" s="13" t="n">
        <v>0.971830985915493</v>
      </c>
      <c r="G13" s="13" t="n">
        <v>0.9694031458737341</v>
      </c>
      <c r="H13" s="13" t="n">
        <v>0.9715882019113171</v>
      </c>
      <c r="I13" s="13" t="n">
        <v>0.978494623655914</v>
      </c>
      <c r="J13" s="13" t="n">
        <v>0.9622641509433962</v>
      </c>
      <c r="K13" s="14" t="n">
        <v>55</v>
      </c>
      <c r="L13" s="14" t="n">
        <v>1.4</v>
      </c>
      <c r="M13" s="14" t="n">
        <v>101.61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5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9 — 89.8% data  (345/384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0.9767441860465116</v>
      </c>
      <c r="E4" s="15" t="n">
        <v>0.9767441860465116</v>
      </c>
      <c r="F4" s="15" t="n">
        <v>0.9577464788732394</v>
      </c>
      <c r="G4" s="15" t="n">
        <v>0.9551767676767677</v>
      </c>
      <c r="H4" s="15" t="n">
        <v>0.957897638355385</v>
      </c>
      <c r="I4" s="15" t="n">
        <v>0.9521421107628004</v>
      </c>
      <c r="J4" s="15" t="n">
        <v>0.9586601653593385</v>
      </c>
      <c r="K4" s="16" t="n">
        <v>100</v>
      </c>
      <c r="L4" s="16" t="n">
        <v>1.4</v>
      </c>
      <c r="M4" s="16" t="n">
        <v>211.32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0.9767441860465116</v>
      </c>
      <c r="E5" s="15" t="n">
        <v>0.9767441860465116</v>
      </c>
      <c r="F5" s="15" t="n">
        <v>0.971830985915493</v>
      </c>
      <c r="G5" s="15" t="n">
        <v>0.9701178451178452</v>
      </c>
      <c r="H5" s="15" t="n">
        <v>0.9719317589035898</v>
      </c>
      <c r="I5" s="15" t="n">
        <v>0.9669801462904911</v>
      </c>
      <c r="J5" s="15" t="n">
        <v>0.9737121051515794</v>
      </c>
      <c r="K5" s="16" t="n">
        <v>100</v>
      </c>
      <c r="L5" s="16" t="n">
        <v>1.4</v>
      </c>
      <c r="M5" s="16" t="n">
        <v>206.35</v>
      </c>
    </row>
    <row r="6">
      <c r="A6" s="14" t="inlineStr"/>
      <c r="B6" s="14" t="inlineStr">
        <is>
          <t>Fold 3</t>
        </is>
      </c>
      <c r="C6" s="14" t="inlineStr">
        <is>
          <t>Feat-XGBoost</t>
        </is>
      </c>
      <c r="D6" s="13" t="n">
        <v>0.9767441860465116</v>
      </c>
      <c r="E6" s="13" t="n">
        <v>0.9534883720930233</v>
      </c>
      <c r="F6" s="13" t="n">
        <v>0.971830985915493</v>
      </c>
      <c r="G6" s="13" t="n">
        <v>0.9696581196581197</v>
      </c>
      <c r="H6" s="13" t="n">
        <v>0.971716624533526</v>
      </c>
      <c r="I6" s="13" t="n">
        <v>0.973712561947856</v>
      </c>
      <c r="J6" s="13" t="n">
        <v>0.9660801356794573</v>
      </c>
      <c r="K6" s="14" t="n">
        <v>100</v>
      </c>
      <c r="L6" s="14" t="n">
        <v>1.3</v>
      </c>
      <c r="M6" s="14" t="n">
        <v>209.45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0.9767441860465116</v>
      </c>
      <c r="E7" s="15" t="n">
        <v>0.9767441860465116</v>
      </c>
      <c r="F7" s="15" t="n">
        <v>0.9647887323943662</v>
      </c>
      <c r="G7" s="15" t="n">
        <v>0.9622239957435488</v>
      </c>
      <c r="H7" s="15" t="n">
        <v>0.9647194151875874</v>
      </c>
      <c r="I7" s="15" t="n">
        <v>0.9641025641025641</v>
      </c>
      <c r="J7" s="15" t="n">
        <v>0.9604621581513674</v>
      </c>
      <c r="K7" s="16" t="n">
        <v>100</v>
      </c>
      <c r="L7" s="16" t="n">
        <v>1.4</v>
      </c>
      <c r="M7" s="16" t="n">
        <v>211.43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4" t="inlineStr">
        <is>
          <t>Full Optimization (M10)</t>
        </is>
      </c>
      <c r="B10" s="14" t="inlineStr">
        <is>
          <t>Fold 1</t>
        </is>
      </c>
      <c r="C10" s="14" t="inlineStr">
        <is>
          <t>Feat-XGBoost</t>
        </is>
      </c>
      <c r="D10" s="13" t="n">
        <v>0.9767441860465116</v>
      </c>
      <c r="E10" s="13" t="n">
        <v>0.9534883720930233</v>
      </c>
      <c r="F10" s="13" t="n">
        <v>0.9788732394366197</v>
      </c>
      <c r="G10" s="13" t="n">
        <v>0.9773343974461293</v>
      </c>
      <c r="H10" s="13" t="n">
        <v>0.9788316491125524</v>
      </c>
      <c r="I10" s="13" t="n">
        <v>0.9792735042735042</v>
      </c>
      <c r="J10" s="13" t="n">
        <v>0.9755140979436082</v>
      </c>
      <c r="K10" s="14" t="n">
        <v>55</v>
      </c>
      <c r="L10" s="14" t="n">
        <v>1.4</v>
      </c>
      <c r="M10" s="14" t="n">
        <v>104.12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0.9767441860465116</v>
      </c>
      <c r="E11" s="15" t="n">
        <v>0.9767441860465116</v>
      </c>
      <c r="F11" s="15" t="n">
        <v>0.9507042253521126</v>
      </c>
      <c r="G11" s="15" t="n">
        <v>0.9466824009011425</v>
      </c>
      <c r="H11" s="15" t="n">
        <v>0.9503948542404996</v>
      </c>
      <c r="I11" s="15" t="n">
        <v>0.9528260869565217</v>
      </c>
      <c r="J11" s="15" t="n">
        <v>0.9415942336230655</v>
      </c>
      <c r="K11" s="16" t="n">
        <v>65</v>
      </c>
      <c r="L11" s="16" t="n">
        <v>1.4</v>
      </c>
      <c r="M11" s="16" t="n">
        <v>100.81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0.9534883720930233</v>
      </c>
      <c r="E12" s="15" t="n">
        <v>0.9534883720930233</v>
      </c>
      <c r="F12" s="15" t="n">
        <v>0.9647887323943662</v>
      </c>
      <c r="G12" s="15" t="n">
        <v>0.9622239957435488</v>
      </c>
      <c r="H12" s="15" t="n">
        <v>0.9647194151875874</v>
      </c>
      <c r="I12" s="15" t="n">
        <v>0.9641025641025641</v>
      </c>
      <c r="J12" s="15" t="n">
        <v>0.9604621581513674</v>
      </c>
      <c r="K12" s="16" t="n">
        <v>55</v>
      </c>
      <c r="L12" s="16" t="n">
        <v>1.3</v>
      </c>
      <c r="M12" s="16" t="n">
        <v>100.44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5" t="n">
        <v>0.9767441860465116</v>
      </c>
      <c r="E13" s="15" t="n">
        <v>0.9767441860465116</v>
      </c>
      <c r="F13" s="15" t="n">
        <v>0.9647887323943662</v>
      </c>
      <c r="G13" s="15" t="n">
        <v>0.9622239957435488</v>
      </c>
      <c r="H13" s="15" t="n">
        <v>0.9647194151875874</v>
      </c>
      <c r="I13" s="15" t="n">
        <v>0.9641025641025641</v>
      </c>
      <c r="J13" s="15" t="n">
        <v>0.9604621581513674</v>
      </c>
      <c r="K13" s="16" t="n">
        <v>60</v>
      </c>
      <c r="L13" s="16" t="n">
        <v>1.5</v>
      </c>
      <c r="M13" s="16" t="n">
        <v>98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3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0" customWidth="1" min="11" max="11"/>
    <col width="20" customWidth="1" min="12" max="12"/>
    <col width="20" customWidth="1" min="13" max="13"/>
  </cols>
  <sheetData>
    <row r="1" ht="28" customHeight="1">
      <c r="A1" s="1" t="inlineStr">
        <is>
          <t>Cấp 10 — 100.0% data  (384/384 mẫu  |  2 class)</t>
        </is>
      </c>
    </row>
    <row r="2">
      <c r="A2" s="19" t="inlineStr">
        <is>
          <t>🟢 Xanh = Feat-XGBoost    🟡 Vàng = XGBoost gốc    🔴 Đỏ = Lỗi</t>
        </is>
      </c>
    </row>
    <row r="3">
      <c r="A3" s="6" t="inlineStr">
        <is>
          <t>Phương án</t>
        </is>
      </c>
      <c r="B3" s="6" t="inlineStr">
        <is>
          <t>Fold</t>
        </is>
      </c>
      <c r="C3" s="6" t="inlineStr">
        <is>
          <t>Model chọn</t>
        </is>
      </c>
      <c r="D3" s="6" t="inlineStr">
        <is>
          <t>Val Acc (Feat)</t>
        </is>
      </c>
      <c r="E3" s="6" t="inlineStr">
        <is>
          <t>Val Acc (XGB)</t>
        </is>
      </c>
      <c r="F3" s="6" t="inlineStr">
        <is>
          <t>Test Acc</t>
        </is>
      </c>
      <c r="G3" s="6" t="inlineStr">
        <is>
          <t>F1 Macro</t>
        </is>
      </c>
      <c r="H3" s="6" t="inlineStr">
        <is>
          <t>F1 Weight</t>
        </is>
      </c>
      <c r="I3" s="6" t="inlineStr">
        <is>
          <t>Precision</t>
        </is>
      </c>
      <c r="J3" s="6" t="inlineStr">
        <is>
          <t>Recall</t>
        </is>
      </c>
      <c r="K3" s="6" t="inlineStr">
        <is>
          <t>Early Stop vòng</t>
        </is>
      </c>
      <c r="L3" s="6" t="inlineStr">
        <is>
          <t>Mem (MB)</t>
        </is>
      </c>
      <c r="M3" s="6" t="inlineStr">
        <is>
          <t>Time (s)</t>
        </is>
      </c>
    </row>
    <row r="4">
      <c r="A4" s="16" t="inlineStr">
        <is>
          <t>Baseline</t>
        </is>
      </c>
      <c r="B4" s="16" t="inlineStr">
        <is>
          <t>Fold 1</t>
        </is>
      </c>
      <c r="C4" s="16" t="inlineStr">
        <is>
          <t>XGBoost</t>
        </is>
      </c>
      <c r="D4" s="15" t="n">
        <v>0.9767441860465116</v>
      </c>
      <c r="E4" s="15" t="n">
        <v>0.9767441860465116</v>
      </c>
      <c r="F4" s="15" t="n">
        <v>0.9577464788732394</v>
      </c>
      <c r="G4" s="15" t="n">
        <v>0.9544871794871794</v>
      </c>
      <c r="H4" s="15" t="n">
        <v>0.957574936800289</v>
      </c>
      <c r="I4" s="15" t="n">
        <v>0.9584141348847232</v>
      </c>
      <c r="J4" s="15" t="n">
        <v>0.9510281958872164</v>
      </c>
      <c r="K4" s="16" t="n">
        <v>100</v>
      </c>
      <c r="L4" s="16" t="n">
        <v>1.9</v>
      </c>
      <c r="M4" s="16" t="n">
        <v>236.14</v>
      </c>
    </row>
    <row r="5">
      <c r="A5" s="16" t="inlineStr"/>
      <c r="B5" s="16" t="inlineStr">
        <is>
          <t>Fold 2</t>
        </is>
      </c>
      <c r="C5" s="16" t="inlineStr">
        <is>
          <t>XGBoost</t>
        </is>
      </c>
      <c r="D5" s="15" t="n">
        <v>0.9767441860465116</v>
      </c>
      <c r="E5" s="15" t="n">
        <v>0.9767441860465116</v>
      </c>
      <c r="F5" s="15" t="n">
        <v>0.9647887323943662</v>
      </c>
      <c r="G5" s="15" t="n">
        <v>0.962778505897772</v>
      </c>
      <c r="H5" s="15" t="n">
        <v>0.9649714802576929</v>
      </c>
      <c r="I5" s="15" t="n">
        <v>0.9584717607973422</v>
      </c>
      <c r="J5" s="15" t="n">
        <v>0.9680941276234896</v>
      </c>
      <c r="K5" s="16" t="n">
        <v>100</v>
      </c>
      <c r="L5" s="16" t="n">
        <v>1.9</v>
      </c>
      <c r="M5" s="16" t="n">
        <v>236.04</v>
      </c>
    </row>
    <row r="6">
      <c r="A6" s="16" t="inlineStr"/>
      <c r="B6" s="16" t="inlineStr">
        <is>
          <t>Fold 3</t>
        </is>
      </c>
      <c r="C6" s="16" t="inlineStr">
        <is>
          <t>XGBoost</t>
        </is>
      </c>
      <c r="D6" s="15" t="n">
        <v>0.9534883720930233</v>
      </c>
      <c r="E6" s="15" t="n">
        <v>0.9767441860465116</v>
      </c>
      <c r="F6" s="15" t="n">
        <v>0.9577464788732394</v>
      </c>
      <c r="G6" s="15" t="n">
        <v>0.9548441806232775</v>
      </c>
      <c r="H6" s="15" t="n">
        <v>0.9577464788732394</v>
      </c>
      <c r="I6" s="15" t="n">
        <v>0.9548441806232775</v>
      </c>
      <c r="J6" s="15" t="n">
        <v>0.9548441806232775</v>
      </c>
      <c r="K6" s="16" t="n">
        <v>100</v>
      </c>
      <c r="L6" s="16" t="n">
        <v>2</v>
      </c>
      <c r="M6" s="16" t="n">
        <v>230.1</v>
      </c>
    </row>
    <row r="7">
      <c r="A7" s="16" t="inlineStr"/>
      <c r="B7" s="16" t="inlineStr">
        <is>
          <t>Fold 4</t>
        </is>
      </c>
      <c r="C7" s="16" t="inlineStr">
        <is>
          <t>XGBoost</t>
        </is>
      </c>
      <c r="D7" s="15" t="n">
        <v>0.9767441860465116</v>
      </c>
      <c r="E7" s="15" t="n">
        <v>0.9767441860465116</v>
      </c>
      <c r="F7" s="15" t="n">
        <v>0.9647887323943662</v>
      </c>
      <c r="G7" s="15" t="n">
        <v>0.9622239957435488</v>
      </c>
      <c r="H7" s="15" t="n">
        <v>0.9647194151875874</v>
      </c>
      <c r="I7" s="15" t="n">
        <v>0.9641025641025641</v>
      </c>
      <c r="J7" s="15" t="n">
        <v>0.9604621581513674</v>
      </c>
      <c r="K7" s="16" t="n">
        <v>100</v>
      </c>
      <c r="L7" s="16" t="n">
        <v>1.4</v>
      </c>
      <c r="M7" s="16" t="n">
        <v>207.93</v>
      </c>
    </row>
    <row r="8">
      <c r="A8" s="20" t="inlineStr">
        <is>
          <t>Avg Baseline</t>
        </is>
      </c>
      <c r="B8" s="21" t="n"/>
      <c r="C8" s="21" t="n"/>
      <c r="D8" s="22">
        <f>AVERAGE(D4:D7)</f>
        <v/>
      </c>
      <c r="E8" s="22">
        <f>AVERAGE(E4:E7)</f>
        <v/>
      </c>
      <c r="F8" s="22">
        <f>AVERAGE(F4:F7)</f>
        <v/>
      </c>
      <c r="G8" s="22">
        <f>AVERAGE(G4:G7)</f>
        <v/>
      </c>
      <c r="H8" s="22">
        <f>AVERAGE(H4:H7)</f>
        <v/>
      </c>
      <c r="I8" s="22">
        <f>AVERAGE(I4:I7)</f>
        <v/>
      </c>
      <c r="J8" s="22">
        <f>AVERAGE(J4:J7)</f>
        <v/>
      </c>
      <c r="K8" s="23">
        <f>AVERAGE(K4:K7)</f>
        <v/>
      </c>
      <c r="L8" s="23">
        <f>AVERAGE(L4:L7)</f>
        <v/>
      </c>
      <c r="M8" s="23">
        <f>AVERAGE(M4:M7)</f>
        <v/>
      </c>
    </row>
    <row r="9"/>
    <row r="10">
      <c r="A10" s="16" t="inlineStr">
        <is>
          <t>Full Optimization (M10)</t>
        </is>
      </c>
      <c r="B10" s="16" t="inlineStr">
        <is>
          <t>Fold 1</t>
        </is>
      </c>
      <c r="C10" s="16" t="inlineStr">
        <is>
          <t>XGBoost</t>
        </is>
      </c>
      <c r="D10" s="15" t="n">
        <v>0.9534883720930233</v>
      </c>
      <c r="E10" s="15" t="n">
        <v>0.9534883720930233</v>
      </c>
      <c r="F10" s="15" t="n">
        <v>0.9647887323943662</v>
      </c>
      <c r="G10" s="15" t="n">
        <v>0.9622239957435488</v>
      </c>
      <c r="H10" s="15" t="n">
        <v>0.9647194151875874</v>
      </c>
      <c r="I10" s="15" t="n">
        <v>0.9641025641025641</v>
      </c>
      <c r="J10" s="15" t="n">
        <v>0.9604621581513674</v>
      </c>
      <c r="K10" s="16" t="n">
        <v>65</v>
      </c>
      <c r="L10" s="16" t="n">
        <v>2</v>
      </c>
      <c r="M10" s="16" t="n">
        <v>159.33</v>
      </c>
    </row>
    <row r="11">
      <c r="A11" s="16" t="inlineStr"/>
      <c r="B11" s="16" t="inlineStr">
        <is>
          <t>Fold 2</t>
        </is>
      </c>
      <c r="C11" s="16" t="inlineStr">
        <is>
          <t>XGBoost</t>
        </is>
      </c>
      <c r="D11" s="15" t="n">
        <v>0.9534883720930233</v>
      </c>
      <c r="E11" s="15" t="n">
        <v>0.9534883720930233</v>
      </c>
      <c r="F11" s="15" t="n">
        <v>0.9577464788732394</v>
      </c>
      <c r="G11" s="15" t="n">
        <v>0.9548441806232775</v>
      </c>
      <c r="H11" s="15" t="n">
        <v>0.9577464788732394</v>
      </c>
      <c r="I11" s="15" t="n">
        <v>0.9548441806232775</v>
      </c>
      <c r="J11" s="15" t="n">
        <v>0.9548441806232775</v>
      </c>
      <c r="K11" s="16" t="n">
        <v>55</v>
      </c>
      <c r="L11" s="16" t="n">
        <v>1.8</v>
      </c>
      <c r="M11" s="16" t="n">
        <v>154.98</v>
      </c>
    </row>
    <row r="12">
      <c r="A12" s="16" t="inlineStr"/>
      <c r="B12" s="16" t="inlineStr">
        <is>
          <t>Fold 3</t>
        </is>
      </c>
      <c r="C12" s="16" t="inlineStr">
        <is>
          <t>XGBoost</t>
        </is>
      </c>
      <c r="D12" s="15" t="n">
        <v>0.9534883720930233</v>
      </c>
      <c r="E12" s="15" t="n">
        <v>0.9534883720930233</v>
      </c>
      <c r="F12" s="15" t="n">
        <v>0.971830985915493</v>
      </c>
      <c r="G12" s="15" t="n">
        <v>0.9698961204155183</v>
      </c>
      <c r="H12" s="15" t="n">
        <v>0.971830985915493</v>
      </c>
      <c r="I12" s="15" t="n">
        <v>0.9698961204155183</v>
      </c>
      <c r="J12" s="15" t="n">
        <v>0.9698961204155183</v>
      </c>
      <c r="K12" s="16" t="n">
        <v>100</v>
      </c>
      <c r="L12" s="16" t="n">
        <v>1.7</v>
      </c>
      <c r="M12" s="16" t="n">
        <v>163.73</v>
      </c>
    </row>
    <row r="13">
      <c r="A13" s="16" t="inlineStr"/>
      <c r="B13" s="16" t="inlineStr">
        <is>
          <t>Fold 4</t>
        </is>
      </c>
      <c r="C13" s="16" t="inlineStr">
        <is>
          <t>XGBoost</t>
        </is>
      </c>
      <c r="D13" s="15" t="n">
        <v>0.9767441860465116</v>
      </c>
      <c r="E13" s="15" t="n">
        <v>0.9767441860465116</v>
      </c>
      <c r="F13" s="15" t="n">
        <v>0.9507042253521126</v>
      </c>
      <c r="G13" s="15" t="n">
        <v>0.9471135940409683</v>
      </c>
      <c r="H13" s="15" t="n">
        <v>0.9506071812626224</v>
      </c>
      <c r="I13" s="15" t="n">
        <v>0.9489316239316239</v>
      </c>
      <c r="J13" s="15" t="n">
        <v>0.9454102183591266</v>
      </c>
      <c r="K13" s="16" t="n">
        <v>55</v>
      </c>
      <c r="L13" s="16" t="n">
        <v>1.4</v>
      </c>
      <c r="M13" s="16" t="n">
        <v>102.3</v>
      </c>
    </row>
    <row r="14">
      <c r="A14" s="24" t="inlineStr">
        <is>
          <t>Avg Full Optimization (M10)</t>
        </is>
      </c>
      <c r="B14" s="25" t="n"/>
      <c r="C14" s="25" t="n"/>
      <c r="D14" s="26">
        <f>AVERAGE(D10:D13)</f>
        <v/>
      </c>
      <c r="E14" s="26">
        <f>AVERAGE(E10:E13)</f>
        <v/>
      </c>
      <c r="F14" s="26">
        <f>AVERAGE(F10:F13)</f>
        <v/>
      </c>
      <c r="G14" s="26">
        <f>AVERAGE(G10:G13)</f>
        <v/>
      </c>
      <c r="H14" s="26">
        <f>AVERAGE(H10:H13)</f>
        <v/>
      </c>
      <c r="I14" s="26">
        <f>AVERAGE(I10:I13)</f>
        <v/>
      </c>
      <c r="J14" s="26">
        <f>AVERAGE(J10:J13)</f>
        <v/>
      </c>
      <c r="K14" s="27">
        <f>AVERAGE(K10:K13)</f>
        <v/>
      </c>
      <c r="L14" s="27">
        <f>AVERAGE(L10:L13)</f>
        <v/>
      </c>
      <c r="M14" s="27">
        <f>AVERAGE(M10:M13)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6" customWidth="1" min="4" max="4"/>
    <col width="15" customWidth="1" min="5" max="5"/>
    <col width="15" customWidth="1" min="6" max="6"/>
    <col width="14" customWidth="1" min="7" max="7"/>
    <col width="23" customWidth="1" min="8" max="8"/>
    <col width="16" customWidth="1" min="9" max="9"/>
  </cols>
  <sheetData>
    <row r="1" ht="28" customHeight="1">
      <c r="A1" s="28" t="inlineStr">
        <is>
          <t>Thống kê lựa chọn Model — Baseline vs M10</t>
        </is>
      </c>
    </row>
    <row r="2">
      <c r="A2" s="6" t="inlineStr">
        <is>
          <t>Cấp</t>
        </is>
      </c>
      <c r="B2" s="6" t="inlineStr">
        <is>
          <t>% Data</t>
        </is>
      </c>
      <c r="C2" s="6" t="inlineStr">
        <is>
          <t>Số mẫu</t>
        </is>
      </c>
      <c r="D2" s="6" t="inlineStr">
        <is>
          <t>Feat Base (%)</t>
        </is>
      </c>
      <c r="E2" s="6" t="inlineStr">
        <is>
          <t>XGB Base (%)</t>
        </is>
      </c>
      <c r="F2" s="6" t="inlineStr">
        <is>
          <t>Feat M10 (%)</t>
        </is>
      </c>
      <c r="G2" s="6" t="inlineStr">
        <is>
          <t>XGB M10 (%)</t>
        </is>
      </c>
      <c r="H2" s="6" t="inlineStr">
        <is>
          <t>Early Stop M10 (avg)</t>
        </is>
      </c>
      <c r="I2" s="6" t="inlineStr">
        <is>
          <t>M10 dừng sớm?</t>
        </is>
      </c>
    </row>
    <row r="3">
      <c r="A3" s="7" t="n">
        <v>1</v>
      </c>
      <c r="B3" s="7" t="inlineStr">
        <is>
          <t>9.9%</t>
        </is>
      </c>
      <c r="C3" s="7" t="n">
        <v>38</v>
      </c>
      <c r="D3" s="7" t="inlineStr">
        <is>
          <t>0%</t>
        </is>
      </c>
      <c r="E3" s="7" t="inlineStr">
        <is>
          <t>100%</t>
        </is>
      </c>
      <c r="F3" s="7" t="inlineStr">
        <is>
          <t>0%</t>
        </is>
      </c>
      <c r="G3" s="7" t="inlineStr">
        <is>
          <t>100%</t>
        </is>
      </c>
      <c r="H3" s="7" t="n">
        <v>64</v>
      </c>
      <c r="I3" s="7" t="inlineStr">
        <is>
          <t>✅ Có</t>
        </is>
      </c>
    </row>
    <row r="4">
      <c r="A4" s="11" t="n">
        <v>2</v>
      </c>
      <c r="B4" s="11" t="inlineStr">
        <is>
          <t>19.8%</t>
        </is>
      </c>
      <c r="C4" s="11" t="n">
        <v>76</v>
      </c>
      <c r="D4" s="11" t="inlineStr">
        <is>
          <t>0%</t>
        </is>
      </c>
      <c r="E4" s="11" t="inlineStr">
        <is>
          <t>100%</t>
        </is>
      </c>
      <c r="F4" s="11" t="inlineStr">
        <is>
          <t>0%</t>
        </is>
      </c>
      <c r="G4" s="11" t="inlineStr">
        <is>
          <t>100%</t>
        </is>
      </c>
      <c r="H4" s="11" t="n">
        <v>55</v>
      </c>
      <c r="I4" s="11" t="inlineStr">
        <is>
          <t>✅ Có</t>
        </is>
      </c>
    </row>
    <row r="5">
      <c r="A5" s="7" t="n">
        <v>3</v>
      </c>
      <c r="B5" s="7" t="inlineStr">
        <is>
          <t>29.9%</t>
        </is>
      </c>
      <c r="C5" s="7" t="n">
        <v>115</v>
      </c>
      <c r="D5" s="7" t="inlineStr">
        <is>
          <t>0%</t>
        </is>
      </c>
      <c r="E5" s="7" t="inlineStr">
        <is>
          <t>100%</t>
        </is>
      </c>
      <c r="F5" s="7" t="inlineStr">
        <is>
          <t>25%</t>
        </is>
      </c>
      <c r="G5" s="7" t="inlineStr">
        <is>
          <t>75%</t>
        </is>
      </c>
      <c r="H5" s="7" t="n">
        <v>56</v>
      </c>
      <c r="I5" s="7" t="inlineStr">
        <is>
          <t>✅ Có</t>
        </is>
      </c>
    </row>
    <row r="6">
      <c r="A6" s="11" t="n">
        <v>4</v>
      </c>
      <c r="B6" s="11" t="inlineStr">
        <is>
          <t>39.8%</t>
        </is>
      </c>
      <c r="C6" s="11" t="n">
        <v>153</v>
      </c>
      <c r="D6" s="11" t="inlineStr">
        <is>
          <t>25%</t>
        </is>
      </c>
      <c r="E6" s="11" t="inlineStr">
        <is>
          <t>75%</t>
        </is>
      </c>
      <c r="F6" s="11" t="inlineStr">
        <is>
          <t>0%</t>
        </is>
      </c>
      <c r="G6" s="11" t="inlineStr">
        <is>
          <t>100%</t>
        </is>
      </c>
      <c r="H6" s="11" t="n">
        <v>55</v>
      </c>
      <c r="I6" s="11" t="inlineStr">
        <is>
          <t>✅ Có</t>
        </is>
      </c>
    </row>
    <row r="7">
      <c r="A7" s="7" t="n">
        <v>5</v>
      </c>
      <c r="B7" s="7" t="inlineStr">
        <is>
          <t>50.0%</t>
        </is>
      </c>
      <c r="C7" s="7" t="n">
        <v>192</v>
      </c>
      <c r="D7" s="7" t="inlineStr">
        <is>
          <t>0%</t>
        </is>
      </c>
      <c r="E7" s="7" t="inlineStr">
        <is>
          <t>100%</t>
        </is>
      </c>
      <c r="F7" s="7" t="inlineStr">
        <is>
          <t>25%</t>
        </is>
      </c>
      <c r="G7" s="7" t="inlineStr">
        <is>
          <t>75%</t>
        </is>
      </c>
      <c r="H7" s="7" t="n">
        <v>58</v>
      </c>
      <c r="I7" s="7" t="inlineStr">
        <is>
          <t>✅ Có</t>
        </is>
      </c>
    </row>
    <row r="8">
      <c r="A8" s="11" t="n">
        <v>6</v>
      </c>
      <c r="B8" s="11" t="inlineStr">
        <is>
          <t>59.9%</t>
        </is>
      </c>
      <c r="C8" s="11" t="n">
        <v>230</v>
      </c>
      <c r="D8" s="11" t="inlineStr">
        <is>
          <t>0%</t>
        </is>
      </c>
      <c r="E8" s="11" t="inlineStr">
        <is>
          <t>100%</t>
        </is>
      </c>
      <c r="F8" s="11" t="inlineStr">
        <is>
          <t>50%</t>
        </is>
      </c>
      <c r="G8" s="11" t="inlineStr">
        <is>
          <t>50%</t>
        </is>
      </c>
      <c r="H8" s="11" t="n">
        <v>55</v>
      </c>
      <c r="I8" s="11" t="inlineStr">
        <is>
          <t>✅ Có</t>
        </is>
      </c>
    </row>
    <row r="9">
      <c r="A9" s="7" t="n">
        <v>7</v>
      </c>
      <c r="B9" s="7" t="inlineStr">
        <is>
          <t>69.8%</t>
        </is>
      </c>
      <c r="C9" s="7" t="n">
        <v>268</v>
      </c>
      <c r="D9" s="7" t="inlineStr">
        <is>
          <t>0%</t>
        </is>
      </c>
      <c r="E9" s="7" t="inlineStr">
        <is>
          <t>100%</t>
        </is>
      </c>
      <c r="F9" s="7" t="inlineStr">
        <is>
          <t>0%</t>
        </is>
      </c>
      <c r="G9" s="7" t="inlineStr">
        <is>
          <t>100%</t>
        </is>
      </c>
      <c r="H9" s="7" t="n">
        <v>61</v>
      </c>
      <c r="I9" s="7" t="inlineStr">
        <is>
          <t>✅ Có</t>
        </is>
      </c>
    </row>
    <row r="10">
      <c r="A10" s="11" t="n">
        <v>8</v>
      </c>
      <c r="B10" s="11" t="inlineStr">
        <is>
          <t>79.9%</t>
        </is>
      </c>
      <c r="C10" s="11" t="n">
        <v>307</v>
      </c>
      <c r="D10" s="11" t="inlineStr">
        <is>
          <t>25%</t>
        </is>
      </c>
      <c r="E10" s="11" t="inlineStr">
        <is>
          <t>75%</t>
        </is>
      </c>
      <c r="F10" s="11" t="inlineStr">
        <is>
          <t>75%</t>
        </is>
      </c>
      <c r="G10" s="11" t="inlineStr">
        <is>
          <t>25%</t>
        </is>
      </c>
      <c r="H10" s="11" t="n">
        <v>55</v>
      </c>
      <c r="I10" s="11" t="inlineStr">
        <is>
          <t>✅ Có</t>
        </is>
      </c>
    </row>
    <row r="11">
      <c r="A11" s="7" t="n">
        <v>9</v>
      </c>
      <c r="B11" s="7" t="inlineStr">
        <is>
          <t>89.8%</t>
        </is>
      </c>
      <c r="C11" s="7" t="n">
        <v>345</v>
      </c>
      <c r="D11" s="7" t="inlineStr">
        <is>
          <t>25%</t>
        </is>
      </c>
      <c r="E11" s="7" t="inlineStr">
        <is>
          <t>75%</t>
        </is>
      </c>
      <c r="F11" s="7" t="inlineStr">
        <is>
          <t>25%</t>
        </is>
      </c>
      <c r="G11" s="7" t="inlineStr">
        <is>
          <t>75%</t>
        </is>
      </c>
      <c r="H11" s="7" t="n">
        <v>59</v>
      </c>
      <c r="I11" s="7" t="inlineStr">
        <is>
          <t>✅ Có</t>
        </is>
      </c>
    </row>
    <row r="12">
      <c r="A12" s="11" t="n">
        <v>10</v>
      </c>
      <c r="B12" s="11" t="inlineStr">
        <is>
          <t>100.0%</t>
        </is>
      </c>
      <c r="C12" s="11" t="n">
        <v>384</v>
      </c>
      <c r="D12" s="11" t="inlineStr">
        <is>
          <t>0%</t>
        </is>
      </c>
      <c r="E12" s="11" t="inlineStr">
        <is>
          <t>100%</t>
        </is>
      </c>
      <c r="F12" s="11" t="inlineStr">
        <is>
          <t>0%</t>
        </is>
      </c>
      <c r="G12" s="11" t="inlineStr">
        <is>
          <t>100%</t>
        </is>
      </c>
      <c r="H12" s="11" t="n">
        <v>69</v>
      </c>
      <c r="I12" s="11" t="inlineStr">
        <is>
          <t>✅ Có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2026-04-22T05:18:19Z</dcterms:created>
  <dcterms:modified xsi:type="dcterms:W3CDTF">2026-04-22T05:18:19Z</dcterms:modified>
</cp:coreProperties>
</file>